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ResearchMainStream\0.ResearchBySection\C.动力学模型\参数优化\参数优化实现\ParallelSweepSimpack\结果分析组\0210早-nsga2-180群150代-收敛\"/>
    </mc:Choice>
  </mc:AlternateContent>
  <xr:revisionPtr revIDLastSave="0" documentId="13_ncr:1_{4B1A6FC5-EC06-4E9A-9518-8AB8DE54E9E4}" xr6:coauthVersionLast="47" xr6:coauthVersionMax="47" xr10:uidLastSave="{00000000-0000-0000-0000-000000000000}"/>
  <bookViews>
    <workbookView xWindow="13950" yWindow="0" windowWidth="37650" windowHeight="21000" tabRatio="500" activeTab="1" xr2:uid="{00000000-000D-0000-FFFF-FFFF00000000}"/>
  </bookViews>
  <sheets>
    <sheet name="plot" sheetId="1" r:id="rId1"/>
    <sheet name="nsga2-150gen180pop" sheetId="3" r:id="rId2"/>
    <sheet name="优化基准值" sheetId="2" r:id="rId3"/>
  </sheets>
  <definedNames>
    <definedName name="_xlnm._FilterDatabase" localSheetId="0" hidden="1">plot!$B$32:$R$212</definedName>
    <definedName name="_xlnm._FilterDatabase" localSheetId="2" hidden="1">优化基准值!$A$1:$H$33</definedName>
    <definedName name="ExternalData_1" localSheetId="1" hidden="1">'nsga2-150gen180pop'!$A$1:$O$181</definedName>
    <definedName name="firstLabel">plot!$B$33</definedName>
    <definedName name="firstZ">plot!$E$33</definedName>
    <definedName name="NrPoints">plot!$H$8</definedName>
    <definedName name="scatterlist">plot!$B$33:$R$212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2" i="1" l="1"/>
  <c r="D102" i="1"/>
  <c r="C102" i="1"/>
  <c r="E101" i="1"/>
  <c r="D101" i="1"/>
  <c r="C101" i="1"/>
  <c r="E100" i="1"/>
  <c r="D100" i="1"/>
  <c r="C100" i="1"/>
  <c r="E99" i="1"/>
  <c r="D99" i="1"/>
  <c r="C99" i="1"/>
  <c r="E98" i="1"/>
  <c r="D98" i="1"/>
  <c r="C98" i="1"/>
  <c r="E97" i="1"/>
  <c r="D97" i="1"/>
  <c r="C97" i="1"/>
  <c r="E96" i="1"/>
  <c r="D96" i="1"/>
  <c r="C96" i="1"/>
  <c r="E95" i="1"/>
  <c r="D95" i="1"/>
  <c r="C95" i="1"/>
  <c r="E94" i="1"/>
  <c r="D94" i="1"/>
  <c r="C94" i="1"/>
  <c r="E93" i="1"/>
  <c r="D93" i="1"/>
  <c r="C93" i="1"/>
  <c r="E92" i="1"/>
  <c r="D92" i="1"/>
  <c r="C92" i="1"/>
  <c r="E91" i="1"/>
  <c r="D91" i="1"/>
  <c r="C91" i="1"/>
  <c r="E90" i="1"/>
  <c r="D90" i="1"/>
  <c r="C90" i="1"/>
  <c r="E89" i="1"/>
  <c r="D89" i="1"/>
  <c r="C89" i="1"/>
  <c r="E88" i="1"/>
  <c r="D88" i="1"/>
  <c r="C88" i="1"/>
  <c r="E87" i="1"/>
  <c r="D87" i="1"/>
  <c r="C87" i="1"/>
  <c r="E86" i="1"/>
  <c r="D86" i="1"/>
  <c r="C86" i="1"/>
  <c r="E85" i="1"/>
  <c r="D85" i="1"/>
  <c r="C85" i="1"/>
  <c r="E84" i="1"/>
  <c r="D84" i="1"/>
  <c r="C84" i="1"/>
  <c r="E83" i="1"/>
  <c r="D83" i="1"/>
  <c r="C83" i="1"/>
  <c r="E82" i="1"/>
  <c r="D82" i="1"/>
  <c r="C82" i="1"/>
  <c r="E81" i="1"/>
  <c r="D81" i="1"/>
  <c r="C81" i="1"/>
  <c r="E80" i="1"/>
  <c r="D80" i="1"/>
  <c r="C80" i="1"/>
  <c r="E79" i="1"/>
  <c r="D79" i="1"/>
  <c r="C79" i="1"/>
  <c r="E78" i="1"/>
  <c r="D78" i="1"/>
  <c r="C78" i="1"/>
  <c r="E77" i="1"/>
  <c r="D77" i="1"/>
  <c r="C77" i="1"/>
  <c r="E76" i="1"/>
  <c r="D76" i="1"/>
  <c r="C76" i="1"/>
  <c r="E75" i="1"/>
  <c r="D75" i="1"/>
  <c r="C75" i="1"/>
  <c r="E74" i="1"/>
  <c r="D74" i="1"/>
  <c r="C74" i="1"/>
  <c r="E73" i="1"/>
  <c r="D73" i="1"/>
  <c r="C73" i="1"/>
  <c r="E72" i="1"/>
  <c r="D72" i="1"/>
  <c r="C72" i="1"/>
  <c r="E71" i="1"/>
  <c r="D71" i="1"/>
  <c r="C71" i="1"/>
  <c r="E70" i="1"/>
  <c r="D70" i="1"/>
  <c r="C70" i="1"/>
  <c r="E69" i="1"/>
  <c r="D69" i="1"/>
  <c r="C69" i="1"/>
  <c r="E68" i="1"/>
  <c r="D68" i="1"/>
  <c r="C68" i="1"/>
  <c r="E67" i="1"/>
  <c r="D67" i="1"/>
  <c r="C67" i="1"/>
  <c r="E66" i="1"/>
  <c r="D66" i="1"/>
  <c r="C66" i="1"/>
  <c r="E65" i="1"/>
  <c r="D65" i="1"/>
  <c r="C65" i="1"/>
  <c r="E64" i="1"/>
  <c r="D64" i="1"/>
  <c r="C64" i="1"/>
  <c r="E63" i="1"/>
  <c r="D63" i="1"/>
  <c r="C63" i="1"/>
  <c r="E62" i="1"/>
  <c r="D62" i="1"/>
  <c r="C62" i="1"/>
  <c r="E61" i="1"/>
  <c r="D61" i="1"/>
  <c r="C61" i="1"/>
  <c r="E60" i="1"/>
  <c r="D60" i="1"/>
  <c r="C60" i="1"/>
  <c r="E59" i="1"/>
  <c r="D59" i="1"/>
  <c r="C59" i="1"/>
  <c r="E58" i="1"/>
  <c r="D58" i="1"/>
  <c r="C58" i="1"/>
  <c r="E57" i="1"/>
  <c r="D57" i="1"/>
  <c r="C57" i="1"/>
  <c r="E56" i="1"/>
  <c r="D56" i="1"/>
  <c r="C56" i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47" i="1"/>
  <c r="E46" i="1"/>
  <c r="D46" i="1"/>
  <c r="C46" i="1"/>
  <c r="E45" i="1"/>
  <c r="D45" i="1"/>
  <c r="C45" i="1"/>
  <c r="E44" i="1"/>
  <c r="D44" i="1"/>
  <c r="C44" i="1"/>
  <c r="E43" i="1"/>
  <c r="D43" i="1"/>
  <c r="C43" i="1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12" i="3"/>
  <c r="G4" i="2"/>
  <c r="F4" i="2"/>
  <c r="G16" i="2"/>
  <c r="G13" i="2"/>
  <c r="F13" i="2"/>
  <c r="G12" i="2"/>
  <c r="F12" i="2"/>
  <c r="G11" i="2"/>
  <c r="F11" i="2"/>
  <c r="G10" i="2"/>
  <c r="F10" i="2"/>
  <c r="G8" i="2"/>
  <c r="F8" i="2"/>
  <c r="G6" i="2"/>
  <c r="F6" i="2"/>
  <c r="G3" i="2"/>
  <c r="F3" i="2"/>
  <c r="J12" i="1"/>
  <c r="I11" i="1"/>
  <c r="H11" i="1"/>
  <c r="J11" i="1"/>
  <c r="H12" i="1"/>
  <c r="H18" i="1"/>
  <c r="I18" i="1"/>
  <c r="J27" i="1"/>
  <c r="I12" i="1"/>
  <c r="J18" i="1"/>
  <c r="E27" i="1"/>
  <c r="C27" i="1"/>
  <c r="D27" i="1"/>
  <c r="I27" i="1"/>
  <c r="H27" i="1"/>
  <c r="H16" i="1" l="1"/>
  <c r="H17" i="1" s="1"/>
  <c r="H20" i="1" s="1"/>
  <c r="H21" i="1" s="1"/>
  <c r="I16" i="1"/>
  <c r="J16" i="1"/>
  <c r="H13" i="1"/>
  <c r="I13" i="1"/>
  <c r="J13" i="1"/>
  <c r="H14" i="1"/>
  <c r="J14" i="1"/>
  <c r="I14" i="1"/>
  <c r="H99" i="1" l="1"/>
  <c r="H63" i="1"/>
  <c r="H39" i="1"/>
  <c r="H87" i="1"/>
  <c r="H35" i="1"/>
  <c r="H62" i="1"/>
  <c r="H46" i="1"/>
  <c r="H45" i="1"/>
  <c r="H59" i="1"/>
  <c r="H78" i="1"/>
  <c r="H83" i="1"/>
  <c r="H41" i="1"/>
  <c r="H54" i="1"/>
  <c r="H69" i="1"/>
  <c r="H48" i="1"/>
  <c r="H37" i="1"/>
  <c r="H66" i="1"/>
  <c r="H74" i="1"/>
  <c r="H51" i="1"/>
  <c r="H65" i="1"/>
  <c r="H70" i="1"/>
  <c r="H38" i="1"/>
  <c r="H75" i="1"/>
  <c r="H40" i="1"/>
  <c r="H57" i="1"/>
  <c r="H36" i="1"/>
  <c r="H79" i="1"/>
  <c r="H71" i="1"/>
  <c r="H89" i="1"/>
  <c r="H93" i="1"/>
  <c r="H85" i="1"/>
  <c r="H42" i="1"/>
  <c r="H50" i="1"/>
  <c r="H49" i="1"/>
  <c r="H80" i="1"/>
  <c r="H88" i="1"/>
  <c r="H61" i="1"/>
  <c r="H58" i="1"/>
  <c r="H55" i="1"/>
  <c r="H73" i="1"/>
  <c r="H82" i="1"/>
  <c r="H90" i="1"/>
  <c r="H68" i="1"/>
  <c r="H64" i="1"/>
  <c r="H47" i="1"/>
  <c r="H101" i="1"/>
  <c r="H56" i="1"/>
  <c r="H77" i="1"/>
  <c r="H72" i="1"/>
  <c r="H53" i="1"/>
  <c r="H81" i="1"/>
  <c r="H100" i="1"/>
  <c r="H33" i="1"/>
  <c r="H92" i="1"/>
  <c r="H84" i="1"/>
  <c r="H98" i="1"/>
  <c r="H76" i="1"/>
  <c r="H102" i="1"/>
  <c r="H94" i="1"/>
  <c r="H60" i="1"/>
  <c r="H96" i="1"/>
  <c r="H44" i="1"/>
  <c r="H91" i="1"/>
  <c r="H67" i="1"/>
  <c r="H43" i="1"/>
  <c r="H97" i="1"/>
  <c r="H34" i="1"/>
  <c r="H86" i="1"/>
  <c r="H52" i="1"/>
  <c r="H95" i="1"/>
  <c r="J17" i="1"/>
  <c r="J20" i="1" s="1"/>
  <c r="J21" i="1" s="1"/>
  <c r="J25" i="1" s="1"/>
  <c r="I17" i="1"/>
  <c r="I69" i="1" s="1"/>
  <c r="M26" i="1"/>
  <c r="N13" i="1"/>
  <c r="N10" i="1"/>
  <c r="Q24" i="1"/>
  <c r="O26" i="1"/>
  <c r="Q26" i="1"/>
  <c r="M27" i="1"/>
  <c r="M25" i="1"/>
  <c r="O27" i="1"/>
  <c r="N16" i="1"/>
  <c r="M24" i="1"/>
  <c r="N14" i="1"/>
  <c r="Q25" i="1"/>
  <c r="O28" i="1"/>
  <c r="N18" i="1"/>
  <c r="N12" i="1"/>
  <c r="Q28" i="1"/>
  <c r="M28" i="1"/>
  <c r="N11" i="1"/>
  <c r="Q27" i="1"/>
  <c r="O24" i="1"/>
  <c r="O25" i="1"/>
  <c r="N20" i="1"/>
  <c r="N15" i="1"/>
  <c r="N17" i="1"/>
  <c r="N19" i="1"/>
  <c r="O18" i="1"/>
  <c r="N24" i="1"/>
  <c r="O11" i="1"/>
  <c r="N25" i="1"/>
  <c r="R26" i="1"/>
  <c r="P28" i="1"/>
  <c r="P24" i="1"/>
  <c r="N28" i="1"/>
  <c r="O14" i="1"/>
  <c r="O13" i="1"/>
  <c r="N27" i="1"/>
  <c r="O12" i="1"/>
  <c r="O20" i="1"/>
  <c r="P25" i="1"/>
  <c r="R25" i="1"/>
  <c r="O15" i="1"/>
  <c r="R28" i="1"/>
  <c r="H8" i="1" a="1"/>
  <c r="H8" i="1" s="1"/>
  <c r="H25" i="1"/>
  <c r="H22" i="1"/>
  <c r="R24" i="1"/>
  <c r="N26" i="1"/>
  <c r="O19" i="1"/>
  <c r="P26" i="1"/>
  <c r="O16" i="1"/>
  <c r="R27" i="1"/>
  <c r="O10" i="1"/>
  <c r="P27" i="1"/>
  <c r="O17" i="1"/>
  <c r="R91" i="1" l="1"/>
  <c r="R64" i="1"/>
  <c r="Q55" i="1"/>
  <c r="R67" i="1"/>
  <c r="Q56" i="1"/>
  <c r="Q80" i="1"/>
  <c r="R60" i="1"/>
  <c r="R48" i="1"/>
  <c r="I74" i="1"/>
  <c r="I50" i="1"/>
  <c r="I70" i="1"/>
  <c r="J69" i="1"/>
  <c r="P69" i="1" s="1"/>
  <c r="I71" i="1"/>
  <c r="I33" i="1"/>
  <c r="J88" i="1"/>
  <c r="P88" i="1" s="1"/>
  <c r="I46" i="1"/>
  <c r="I59" i="1"/>
  <c r="I55" i="1"/>
  <c r="R55" i="1" s="1"/>
  <c r="I60" i="1"/>
  <c r="Q60" i="1" s="1"/>
  <c r="I102" i="1"/>
  <c r="I53" i="1"/>
  <c r="J75" i="1"/>
  <c r="P75" i="1" s="1"/>
  <c r="I67" i="1"/>
  <c r="I48" i="1"/>
  <c r="Q48" i="1" s="1"/>
  <c r="I68" i="1"/>
  <c r="R68" i="1" s="1"/>
  <c r="I95" i="1"/>
  <c r="R95" i="1" s="1"/>
  <c r="Q67" i="1"/>
  <c r="I43" i="1"/>
  <c r="R43" i="1" s="1"/>
  <c r="I83" i="1"/>
  <c r="R83" i="1" s="1"/>
  <c r="Q91" i="1"/>
  <c r="I44" i="1"/>
  <c r="R44" i="1" s="1"/>
  <c r="I84" i="1"/>
  <c r="R84" i="1" s="1"/>
  <c r="I34" i="1"/>
  <c r="I77" i="1"/>
  <c r="R77" i="1" s="1"/>
  <c r="I58" i="1"/>
  <c r="I65" i="1"/>
  <c r="R65" i="1" s="1"/>
  <c r="I79" i="1"/>
  <c r="Q79" i="1" s="1"/>
  <c r="I40" i="1"/>
  <c r="Q40" i="1" s="1"/>
  <c r="R40" i="1"/>
  <c r="I82" i="1"/>
  <c r="I91" i="1"/>
  <c r="I64" i="1"/>
  <c r="Q64" i="1" s="1"/>
  <c r="I96" i="1"/>
  <c r="Q96" i="1" s="1"/>
  <c r="I92" i="1"/>
  <c r="I56" i="1"/>
  <c r="R56" i="1" s="1"/>
  <c r="I88" i="1"/>
  <c r="I85" i="1"/>
  <c r="I80" i="1"/>
  <c r="R80" i="1" s="1"/>
  <c r="I101" i="1"/>
  <c r="R101" i="1" s="1"/>
  <c r="I72" i="1"/>
  <c r="J42" i="1"/>
  <c r="O42" i="1" s="1"/>
  <c r="Q69" i="1"/>
  <c r="R69" i="1"/>
  <c r="L60" i="1"/>
  <c r="G60" i="1" s="1"/>
  <c r="J34" i="1"/>
  <c r="R88" i="1"/>
  <c r="J49" i="1"/>
  <c r="J76" i="1"/>
  <c r="J62" i="1"/>
  <c r="Q59" i="1"/>
  <c r="J56" i="1"/>
  <c r="J65" i="1"/>
  <c r="O75" i="1"/>
  <c r="J82" i="1"/>
  <c r="J52" i="1"/>
  <c r="J46" i="1"/>
  <c r="J68" i="1"/>
  <c r="J61" i="1"/>
  <c r="J87" i="1"/>
  <c r="K80" i="1"/>
  <c r="J74" i="1"/>
  <c r="J50" i="1"/>
  <c r="J85" i="1"/>
  <c r="J77" i="1"/>
  <c r="N77" i="1" s="1"/>
  <c r="J54" i="1"/>
  <c r="J72" i="1"/>
  <c r="J86" i="1"/>
  <c r="J98" i="1"/>
  <c r="J96" i="1"/>
  <c r="J60" i="1"/>
  <c r="J73" i="1"/>
  <c r="J57" i="1"/>
  <c r="J91" i="1"/>
  <c r="J51" i="1"/>
  <c r="J100" i="1"/>
  <c r="J44" i="1"/>
  <c r="J43" i="1"/>
  <c r="I87" i="1"/>
  <c r="I61" i="1"/>
  <c r="J78" i="1"/>
  <c r="J90" i="1"/>
  <c r="I63" i="1"/>
  <c r="I42" i="1"/>
  <c r="I39" i="1"/>
  <c r="J83" i="1"/>
  <c r="I99" i="1"/>
  <c r="J64" i="1"/>
  <c r="I98" i="1"/>
  <c r="I90" i="1"/>
  <c r="J58" i="1"/>
  <c r="I100" i="1"/>
  <c r="J101" i="1"/>
  <c r="J92" i="1"/>
  <c r="K59" i="1"/>
  <c r="N60" i="1"/>
  <c r="Q68" i="1"/>
  <c r="J53" i="1"/>
  <c r="N53" i="1" s="1"/>
  <c r="I97" i="1"/>
  <c r="I38" i="1"/>
  <c r="J47" i="1"/>
  <c r="J97" i="1"/>
  <c r="J81" i="1"/>
  <c r="I94" i="1"/>
  <c r="I89" i="1"/>
  <c r="I37" i="1"/>
  <c r="I75" i="1"/>
  <c r="J41" i="1"/>
  <c r="J45" i="1"/>
  <c r="J93" i="1"/>
  <c r="I81" i="1"/>
  <c r="I36" i="1"/>
  <c r="I76" i="1"/>
  <c r="J40" i="1"/>
  <c r="J84" i="1"/>
  <c r="Q82" i="1"/>
  <c r="J79" i="1"/>
  <c r="I73" i="1"/>
  <c r="I35" i="1"/>
  <c r="J39" i="1"/>
  <c r="J70" i="1"/>
  <c r="R96" i="1"/>
  <c r="J71" i="1"/>
  <c r="I20" i="1"/>
  <c r="I21" i="1" s="1"/>
  <c r="I78" i="1"/>
  <c r="I62" i="1"/>
  <c r="I86" i="1"/>
  <c r="I93" i="1"/>
  <c r="J102" i="1"/>
  <c r="J89" i="1"/>
  <c r="J22" i="1"/>
  <c r="J24" i="1" s="1"/>
  <c r="R82" i="1"/>
  <c r="R59" i="1"/>
  <c r="J94" i="1"/>
  <c r="I57" i="1"/>
  <c r="J80" i="1"/>
  <c r="M80" i="1" s="1"/>
  <c r="J67" i="1"/>
  <c r="K67" i="1" s="1"/>
  <c r="J38" i="1"/>
  <c r="J99" i="1"/>
  <c r="J63" i="1"/>
  <c r="I49" i="1"/>
  <c r="I52" i="1"/>
  <c r="J95" i="1"/>
  <c r="J37" i="1"/>
  <c r="J55" i="1"/>
  <c r="N55" i="1" s="1"/>
  <c r="N96" i="1"/>
  <c r="J33" i="1"/>
  <c r="I41" i="1"/>
  <c r="I45" i="1"/>
  <c r="I47" i="1"/>
  <c r="J36" i="1"/>
  <c r="I51" i="1"/>
  <c r="J66" i="1"/>
  <c r="I66" i="1"/>
  <c r="J59" i="1"/>
  <c r="M59" i="1" s="1"/>
  <c r="I54" i="1"/>
  <c r="J35" i="1"/>
  <c r="J48" i="1"/>
  <c r="H24" i="1"/>
  <c r="H23" i="1"/>
  <c r="R46" i="1" l="1"/>
  <c r="Q46" i="1"/>
  <c r="Q33" i="1"/>
  <c r="R33" i="1"/>
  <c r="R71" i="1"/>
  <c r="Q71" i="1"/>
  <c r="R70" i="1"/>
  <c r="Q70" i="1"/>
  <c r="Q34" i="1"/>
  <c r="R34" i="1"/>
  <c r="Q50" i="1"/>
  <c r="R50" i="1"/>
  <c r="N69" i="1"/>
  <c r="R74" i="1"/>
  <c r="Q74" i="1"/>
  <c r="M71" i="1"/>
  <c r="K69" i="1"/>
  <c r="R58" i="1"/>
  <c r="Q58" i="1"/>
  <c r="L88" i="1"/>
  <c r="G88" i="1" s="1"/>
  <c r="L69" i="1"/>
  <c r="G69" i="1" s="1"/>
  <c r="Q65" i="1"/>
  <c r="R79" i="1"/>
  <c r="R72" i="1"/>
  <c r="Q72" i="1"/>
  <c r="K77" i="1"/>
  <c r="O88" i="1"/>
  <c r="L84" i="1"/>
  <c r="G84" i="1" s="1"/>
  <c r="Q84" i="1"/>
  <c r="Q85" i="1"/>
  <c r="R85" i="1"/>
  <c r="Q44" i="1"/>
  <c r="P42" i="1"/>
  <c r="Q88" i="1"/>
  <c r="N88" i="1"/>
  <c r="M88" i="1"/>
  <c r="Q101" i="1"/>
  <c r="M77" i="1"/>
  <c r="Q92" i="1"/>
  <c r="R92" i="1"/>
  <c r="R53" i="1"/>
  <c r="Q53" i="1"/>
  <c r="Q43" i="1"/>
  <c r="Q102" i="1"/>
  <c r="R102" i="1"/>
  <c r="Q83" i="1"/>
  <c r="O69" i="1"/>
  <c r="K71" i="1"/>
  <c r="Q95" i="1"/>
  <c r="M69" i="1"/>
  <c r="K88" i="1"/>
  <c r="K83" i="1"/>
  <c r="K96" i="1"/>
  <c r="Q77" i="1"/>
  <c r="O49" i="1"/>
  <c r="P49" i="1"/>
  <c r="O79" i="1"/>
  <c r="M79" i="1"/>
  <c r="L79" i="1"/>
  <c r="K79" i="1"/>
  <c r="P79" i="1"/>
  <c r="O100" i="1"/>
  <c r="P100" i="1"/>
  <c r="M84" i="1"/>
  <c r="M34" i="1"/>
  <c r="P34" i="1"/>
  <c r="K34" i="1"/>
  <c r="L34" i="1"/>
  <c r="G34" i="1" s="1"/>
  <c r="O34" i="1"/>
  <c r="N34" i="1"/>
  <c r="O43" i="1"/>
  <c r="L43" i="1"/>
  <c r="G43" i="1" s="1"/>
  <c r="P43" i="1"/>
  <c r="N43" i="1"/>
  <c r="M43" i="1"/>
  <c r="K43" i="1"/>
  <c r="N92" i="1"/>
  <c r="K92" i="1"/>
  <c r="P92" i="1"/>
  <c r="L92" i="1"/>
  <c r="M92" i="1"/>
  <c r="O92" i="1"/>
  <c r="P51" i="1"/>
  <c r="O51" i="1"/>
  <c r="O87" i="1"/>
  <c r="P87" i="1"/>
  <c r="O91" i="1"/>
  <c r="K91" i="1"/>
  <c r="N91" i="1"/>
  <c r="M91" i="1"/>
  <c r="L91" i="1"/>
  <c r="G91" i="1" s="1"/>
  <c r="P91" i="1"/>
  <c r="O61" i="1"/>
  <c r="P61" i="1"/>
  <c r="L101" i="1"/>
  <c r="G101" i="1" s="1"/>
  <c r="P101" i="1"/>
  <c r="K101" i="1"/>
  <c r="O101" i="1"/>
  <c r="M101" i="1"/>
  <c r="N101" i="1"/>
  <c r="O57" i="1"/>
  <c r="P57" i="1"/>
  <c r="P68" i="1"/>
  <c r="N68" i="1"/>
  <c r="L68" i="1"/>
  <c r="G68" i="1" s="1"/>
  <c r="O68" i="1"/>
  <c r="M68" i="1"/>
  <c r="P48" i="1"/>
  <c r="O48" i="1"/>
  <c r="K76" i="1"/>
  <c r="M76" i="1"/>
  <c r="R76" i="1"/>
  <c r="Q76" i="1"/>
  <c r="L76" i="1"/>
  <c r="G76" i="1" s="1"/>
  <c r="N76" i="1"/>
  <c r="K100" i="1"/>
  <c r="N100" i="1"/>
  <c r="Q100" i="1"/>
  <c r="L100" i="1"/>
  <c r="R100" i="1"/>
  <c r="M100" i="1"/>
  <c r="O46" i="1"/>
  <c r="L46" i="1"/>
  <c r="G46" i="1" s="1"/>
  <c r="K46" i="1"/>
  <c r="N46" i="1"/>
  <c r="P46" i="1"/>
  <c r="M46" i="1"/>
  <c r="O93" i="1"/>
  <c r="P93" i="1"/>
  <c r="L58" i="1"/>
  <c r="P58" i="1"/>
  <c r="K58" i="1"/>
  <c r="N58" i="1"/>
  <c r="M58" i="1"/>
  <c r="O58" i="1"/>
  <c r="L59" i="1"/>
  <c r="G59" i="1" s="1"/>
  <c r="O76" i="1"/>
  <c r="P76" i="1"/>
  <c r="R90" i="1"/>
  <c r="K90" i="1"/>
  <c r="N90" i="1"/>
  <c r="L90" i="1"/>
  <c r="G90" i="1" s="1"/>
  <c r="M90" i="1"/>
  <c r="Q90" i="1"/>
  <c r="P73" i="1"/>
  <c r="O73" i="1"/>
  <c r="M48" i="1"/>
  <c r="M36" i="1"/>
  <c r="R36" i="1"/>
  <c r="Q36" i="1"/>
  <c r="N36" i="1"/>
  <c r="K36" i="1"/>
  <c r="L36" i="1"/>
  <c r="L98" i="1"/>
  <c r="K98" i="1"/>
  <c r="Q98" i="1"/>
  <c r="N98" i="1"/>
  <c r="M98" i="1"/>
  <c r="R98" i="1"/>
  <c r="O60" i="1"/>
  <c r="P60" i="1"/>
  <c r="M60" i="1"/>
  <c r="K60" i="1"/>
  <c r="P52" i="1"/>
  <c r="O52" i="1"/>
  <c r="P84" i="1"/>
  <c r="O84" i="1"/>
  <c r="Q81" i="1"/>
  <c r="K81" i="1"/>
  <c r="R81" i="1"/>
  <c r="N81" i="1"/>
  <c r="L81" i="1"/>
  <c r="G81" i="1" s="1"/>
  <c r="M81" i="1"/>
  <c r="M45" i="1"/>
  <c r="Q45" i="1"/>
  <c r="K45" i="1"/>
  <c r="R45" i="1"/>
  <c r="N45" i="1"/>
  <c r="L45" i="1"/>
  <c r="G45" i="1" s="1"/>
  <c r="O41" i="1"/>
  <c r="P41" i="1"/>
  <c r="P96" i="1"/>
  <c r="O96" i="1"/>
  <c r="P82" i="1"/>
  <c r="O82" i="1"/>
  <c r="K84" i="1"/>
  <c r="M51" i="1"/>
  <c r="Q51" i="1"/>
  <c r="R51" i="1"/>
  <c r="K51" i="1"/>
  <c r="N51" i="1"/>
  <c r="L51" i="1"/>
  <c r="G51" i="1" s="1"/>
  <c r="O89" i="1"/>
  <c r="P89" i="1"/>
  <c r="N59" i="1"/>
  <c r="N75" i="1"/>
  <c r="L75" i="1"/>
  <c r="R75" i="1"/>
  <c r="Q75" i="1"/>
  <c r="M75" i="1"/>
  <c r="K75" i="1"/>
  <c r="P64" i="1"/>
  <c r="M64" i="1"/>
  <c r="K64" i="1"/>
  <c r="L64" i="1"/>
  <c r="G64" i="1" s="1"/>
  <c r="O64" i="1"/>
  <c r="N64" i="1"/>
  <c r="M96" i="1"/>
  <c r="P38" i="1"/>
  <c r="O38" i="1"/>
  <c r="N40" i="1"/>
  <c r="M40" i="1"/>
  <c r="K40" i="1"/>
  <c r="P40" i="1"/>
  <c r="L40" i="1"/>
  <c r="G40" i="1" s="1"/>
  <c r="O40" i="1"/>
  <c r="L62" i="1"/>
  <c r="N62" i="1"/>
  <c r="R62" i="1"/>
  <c r="K62" i="1"/>
  <c r="M62" i="1"/>
  <c r="Q62" i="1"/>
  <c r="R37" i="1"/>
  <c r="M37" i="1"/>
  <c r="N37" i="1"/>
  <c r="Q37" i="1"/>
  <c r="L37" i="1"/>
  <c r="G37" i="1" s="1"/>
  <c r="K37" i="1"/>
  <c r="M99" i="1"/>
  <c r="R99" i="1"/>
  <c r="K99" i="1"/>
  <c r="L99" i="1"/>
  <c r="G99" i="1" s="1"/>
  <c r="N99" i="1"/>
  <c r="Q99" i="1"/>
  <c r="O98" i="1"/>
  <c r="P98" i="1"/>
  <c r="L66" i="1"/>
  <c r="Q66" i="1"/>
  <c r="N66" i="1"/>
  <c r="M66" i="1"/>
  <c r="R66" i="1"/>
  <c r="K66" i="1"/>
  <c r="N33" i="1"/>
  <c r="O33" i="1"/>
  <c r="M33" i="1"/>
  <c r="K33" i="1"/>
  <c r="P33" i="1"/>
  <c r="L33" i="1"/>
  <c r="G33" i="1" s="1"/>
  <c r="R78" i="1"/>
  <c r="M78" i="1"/>
  <c r="K78" i="1"/>
  <c r="Q78" i="1"/>
  <c r="N78" i="1"/>
  <c r="L78" i="1"/>
  <c r="G78" i="1" s="1"/>
  <c r="N89" i="1"/>
  <c r="Q89" i="1"/>
  <c r="L89" i="1"/>
  <c r="R89" i="1"/>
  <c r="K89" i="1"/>
  <c r="M89" i="1"/>
  <c r="O83" i="1"/>
  <c r="P83" i="1"/>
  <c r="P86" i="1"/>
  <c r="O86" i="1"/>
  <c r="M44" i="1"/>
  <c r="N44" i="1"/>
  <c r="O44" i="1"/>
  <c r="L44" i="1"/>
  <c r="G44" i="1" s="1"/>
  <c r="K44" i="1"/>
  <c r="P44" i="1"/>
  <c r="I22" i="1"/>
  <c r="I25" i="1"/>
  <c r="L94" i="1"/>
  <c r="N94" i="1"/>
  <c r="Q94" i="1"/>
  <c r="M94" i="1"/>
  <c r="R94" i="1"/>
  <c r="K94" i="1"/>
  <c r="N39" i="1"/>
  <c r="R39" i="1"/>
  <c r="L39" i="1"/>
  <c r="K39" i="1"/>
  <c r="M39" i="1"/>
  <c r="Q39" i="1"/>
  <c r="O72" i="1"/>
  <c r="P72" i="1"/>
  <c r="L72" i="1"/>
  <c r="G72" i="1" s="1"/>
  <c r="K72" i="1"/>
  <c r="N72" i="1"/>
  <c r="M72" i="1"/>
  <c r="O65" i="1"/>
  <c r="M65" i="1"/>
  <c r="L65" i="1"/>
  <c r="G65" i="1" s="1"/>
  <c r="K65" i="1"/>
  <c r="N65" i="1"/>
  <c r="P65" i="1"/>
  <c r="O80" i="1"/>
  <c r="P80" i="1"/>
  <c r="L80" i="1"/>
  <c r="G80" i="1" s="1"/>
  <c r="N80" i="1"/>
  <c r="O66" i="1"/>
  <c r="P66" i="1"/>
  <c r="L47" i="1"/>
  <c r="Q47" i="1"/>
  <c r="R47" i="1"/>
  <c r="M47" i="1"/>
  <c r="K47" i="1"/>
  <c r="N47" i="1"/>
  <c r="J23" i="1"/>
  <c r="AF11" i="1" s="1"/>
  <c r="AG11" i="1" s="1"/>
  <c r="P95" i="1"/>
  <c r="K95" i="1"/>
  <c r="M95" i="1"/>
  <c r="L95" i="1"/>
  <c r="G95" i="1" s="1"/>
  <c r="N95" i="1"/>
  <c r="O95" i="1"/>
  <c r="L71" i="1"/>
  <c r="G71" i="1" s="1"/>
  <c r="N71" i="1"/>
  <c r="P71" i="1"/>
  <c r="O71" i="1"/>
  <c r="N83" i="1"/>
  <c r="N42" i="1"/>
  <c r="R42" i="1"/>
  <c r="Q42" i="1"/>
  <c r="M42" i="1"/>
  <c r="L42" i="1"/>
  <c r="K42" i="1"/>
  <c r="P54" i="1"/>
  <c r="O54" i="1"/>
  <c r="K56" i="1"/>
  <c r="N56" i="1"/>
  <c r="O56" i="1"/>
  <c r="M56" i="1"/>
  <c r="L56" i="1"/>
  <c r="G56" i="1" s="1"/>
  <c r="P56" i="1"/>
  <c r="N82" i="1"/>
  <c r="M53" i="1"/>
  <c r="P53" i="1"/>
  <c r="O53" i="1"/>
  <c r="P36" i="1"/>
  <c r="O36" i="1"/>
  <c r="N93" i="1"/>
  <c r="Q93" i="1"/>
  <c r="R93" i="1"/>
  <c r="M93" i="1"/>
  <c r="L93" i="1"/>
  <c r="K93" i="1"/>
  <c r="Q52" i="1"/>
  <c r="N52" i="1"/>
  <c r="M52" i="1"/>
  <c r="L52" i="1"/>
  <c r="K52" i="1"/>
  <c r="R52" i="1"/>
  <c r="L96" i="1"/>
  <c r="G96" i="1" s="1"/>
  <c r="Q63" i="1"/>
  <c r="L63" i="1"/>
  <c r="K63" i="1"/>
  <c r="M63" i="1"/>
  <c r="N63" i="1"/>
  <c r="R63" i="1"/>
  <c r="M82" i="1"/>
  <c r="K82" i="1"/>
  <c r="N79" i="1"/>
  <c r="P45" i="1"/>
  <c r="O45" i="1"/>
  <c r="N49" i="1"/>
  <c r="M49" i="1"/>
  <c r="R49" i="1"/>
  <c r="K49" i="1"/>
  <c r="L49" i="1"/>
  <c r="G49" i="1" s="1"/>
  <c r="Q49" i="1"/>
  <c r="K48" i="1"/>
  <c r="O81" i="1"/>
  <c r="P81" i="1"/>
  <c r="L82" i="1"/>
  <c r="G82" i="1" s="1"/>
  <c r="L53" i="1"/>
  <c r="G53" i="1" s="1"/>
  <c r="N57" i="1"/>
  <c r="K57" i="1"/>
  <c r="Q57" i="1"/>
  <c r="M57" i="1"/>
  <c r="R57" i="1"/>
  <c r="L57" i="1"/>
  <c r="G57" i="1" s="1"/>
  <c r="N48" i="1"/>
  <c r="P63" i="1"/>
  <c r="O63" i="1"/>
  <c r="O97" i="1"/>
  <c r="P97" i="1"/>
  <c r="P90" i="1"/>
  <c r="O90" i="1"/>
  <c r="O77" i="1"/>
  <c r="P77" i="1"/>
  <c r="L77" i="1"/>
  <c r="G77" i="1" s="1"/>
  <c r="L48" i="1"/>
  <c r="G48" i="1" s="1"/>
  <c r="N84" i="1"/>
  <c r="O94" i="1"/>
  <c r="P94" i="1"/>
  <c r="K86" i="1"/>
  <c r="R86" i="1"/>
  <c r="M86" i="1"/>
  <c r="Q86" i="1"/>
  <c r="N86" i="1"/>
  <c r="L86" i="1"/>
  <c r="G86" i="1" s="1"/>
  <c r="P37" i="1"/>
  <c r="O37" i="1"/>
  <c r="K53" i="1"/>
  <c r="P39" i="1"/>
  <c r="O39" i="1"/>
  <c r="P47" i="1"/>
  <c r="O47" i="1"/>
  <c r="P78" i="1"/>
  <c r="O78" i="1"/>
  <c r="L85" i="1"/>
  <c r="G85" i="1" s="1"/>
  <c r="M85" i="1"/>
  <c r="O85" i="1"/>
  <c r="P85" i="1"/>
  <c r="N85" i="1"/>
  <c r="K85" i="1"/>
  <c r="L83" i="1"/>
  <c r="G83" i="1" s="1"/>
  <c r="N67" i="1"/>
  <c r="L67" i="1"/>
  <c r="G67" i="1" s="1"/>
  <c r="P67" i="1"/>
  <c r="O67" i="1"/>
  <c r="M67" i="1"/>
  <c r="Q54" i="1"/>
  <c r="K54" i="1"/>
  <c r="N54" i="1"/>
  <c r="M54" i="1"/>
  <c r="R54" i="1"/>
  <c r="L54" i="1"/>
  <c r="G54" i="1" s="1"/>
  <c r="Q41" i="1"/>
  <c r="N41" i="1"/>
  <c r="K41" i="1"/>
  <c r="R41" i="1"/>
  <c r="M41" i="1"/>
  <c r="L41" i="1"/>
  <c r="M35" i="1"/>
  <c r="Q35" i="1"/>
  <c r="L35" i="1"/>
  <c r="K35" i="1"/>
  <c r="N35" i="1"/>
  <c r="R35" i="1"/>
  <c r="M38" i="1"/>
  <c r="N38" i="1"/>
  <c r="K38" i="1"/>
  <c r="Q38" i="1"/>
  <c r="R38" i="1"/>
  <c r="L38" i="1"/>
  <c r="G38" i="1" s="1"/>
  <c r="Q61" i="1"/>
  <c r="N61" i="1"/>
  <c r="R61" i="1"/>
  <c r="L61" i="1"/>
  <c r="K61" i="1"/>
  <c r="M61" i="1"/>
  <c r="L50" i="1"/>
  <c r="G50" i="1" s="1"/>
  <c r="K50" i="1"/>
  <c r="N50" i="1"/>
  <c r="P50" i="1"/>
  <c r="O50" i="1"/>
  <c r="M50" i="1"/>
  <c r="K68" i="1"/>
  <c r="P35" i="1"/>
  <c r="O35" i="1"/>
  <c r="P59" i="1"/>
  <c r="O59" i="1"/>
  <c r="O102" i="1"/>
  <c r="N102" i="1"/>
  <c r="M102" i="1"/>
  <c r="P102" i="1"/>
  <c r="L102" i="1"/>
  <c r="G102" i="1" s="1"/>
  <c r="K102" i="1"/>
  <c r="P55" i="1"/>
  <c r="L55" i="1"/>
  <c r="G55" i="1" s="1"/>
  <c r="O55" i="1"/>
  <c r="M55" i="1"/>
  <c r="K55" i="1"/>
  <c r="N70" i="1"/>
  <c r="M70" i="1"/>
  <c r="P70" i="1"/>
  <c r="O70" i="1"/>
  <c r="L70" i="1"/>
  <c r="G70" i="1" s="1"/>
  <c r="K70" i="1"/>
  <c r="M83" i="1"/>
  <c r="O99" i="1"/>
  <c r="P99" i="1"/>
  <c r="M73" i="1"/>
  <c r="Q73" i="1"/>
  <c r="K73" i="1"/>
  <c r="L73" i="1"/>
  <c r="N73" i="1"/>
  <c r="R73" i="1"/>
  <c r="R97" i="1"/>
  <c r="K97" i="1"/>
  <c r="L97" i="1"/>
  <c r="Q97" i="1"/>
  <c r="N97" i="1"/>
  <c r="M97" i="1"/>
  <c r="M87" i="1"/>
  <c r="L87" i="1"/>
  <c r="N87" i="1"/>
  <c r="R87" i="1"/>
  <c r="K87" i="1"/>
  <c r="Q87" i="1"/>
  <c r="L74" i="1"/>
  <c r="G74" i="1" s="1"/>
  <c r="O74" i="1"/>
  <c r="P74" i="1"/>
  <c r="M74" i="1"/>
  <c r="N74" i="1"/>
  <c r="P62" i="1"/>
  <c r="O62" i="1"/>
  <c r="K74" i="1"/>
  <c r="AF18" i="1"/>
  <c r="AG18" i="1" s="1"/>
  <c r="V9" i="1"/>
  <c r="W9" i="1" s="1"/>
  <c r="V10" i="1"/>
  <c r="X10" i="1" s="1"/>
  <c r="V21" i="1"/>
  <c r="W21" i="1" s="1"/>
  <c r="V23" i="1"/>
  <c r="W23" i="1" s="1"/>
  <c r="V12" i="1"/>
  <c r="W12" i="1" s="1"/>
  <c r="V25" i="1"/>
  <c r="X25" i="1" s="1"/>
  <c r="V14" i="1"/>
  <c r="W14" i="1" s="1"/>
  <c r="V16" i="1"/>
  <c r="X16" i="1" s="1"/>
  <c r="V27" i="1"/>
  <c r="W27" i="1" s="1"/>
  <c r="V18" i="1"/>
  <c r="W18" i="1" s="1"/>
  <c r="V29" i="1"/>
  <c r="W29" i="1" s="1"/>
  <c r="V20" i="1"/>
  <c r="W20" i="1" s="1"/>
  <c r="V22" i="1"/>
  <c r="X22" i="1" s="1"/>
  <c r="V11" i="1"/>
  <c r="W11" i="1" s="1"/>
  <c r="V13" i="1"/>
  <c r="X13" i="1" s="1"/>
  <c r="V24" i="1"/>
  <c r="W24" i="1" s="1"/>
  <c r="V15" i="1"/>
  <c r="W15" i="1" s="1"/>
  <c r="V28" i="1"/>
  <c r="X28" i="1" s="1"/>
  <c r="V26" i="1"/>
  <c r="W26" i="1" s="1"/>
  <c r="V17" i="1"/>
  <c r="W17" i="1" s="1"/>
  <c r="V19" i="1"/>
  <c r="X19" i="1" s="1"/>
  <c r="AF16" i="1" l="1"/>
  <c r="AH16" i="1" s="1"/>
  <c r="G79" i="1"/>
  <c r="G98" i="1"/>
  <c r="G58" i="1"/>
  <c r="AF29" i="1"/>
  <c r="AG29" i="1" s="1"/>
  <c r="AF19" i="1"/>
  <c r="AH19" i="1" s="1"/>
  <c r="G93" i="1"/>
  <c r="AF20" i="1"/>
  <c r="AG20" i="1" s="1"/>
  <c r="G92" i="1"/>
  <c r="AF15" i="1"/>
  <c r="AG15" i="1" s="1"/>
  <c r="AI15" i="1" s="1"/>
  <c r="AF22" i="1"/>
  <c r="AH22" i="1" s="1"/>
  <c r="G35" i="1"/>
  <c r="AF9" i="1"/>
  <c r="AG9" i="1" s="1"/>
  <c r="AF27" i="1"/>
  <c r="AG27" i="1" s="1"/>
  <c r="AI27" i="1" s="1"/>
  <c r="AF14" i="1"/>
  <c r="AG14" i="1" s="1"/>
  <c r="AJ14" i="1" s="1"/>
  <c r="G87" i="1"/>
  <c r="AF25" i="1"/>
  <c r="AH25" i="1" s="1"/>
  <c r="AF23" i="1"/>
  <c r="AG23" i="1" s="1"/>
  <c r="AF12" i="1"/>
  <c r="AG12" i="1" s="1"/>
  <c r="AI12" i="1" s="1"/>
  <c r="G41" i="1"/>
  <c r="AF10" i="1"/>
  <c r="AH10" i="1" s="1"/>
  <c r="AF21" i="1"/>
  <c r="AG21" i="1" s="1"/>
  <c r="AI21" i="1" s="1"/>
  <c r="G75" i="1"/>
  <c r="G62" i="1"/>
  <c r="G100" i="1"/>
  <c r="G66" i="1"/>
  <c r="G63" i="1"/>
  <c r="G61" i="1"/>
  <c r="G39" i="1"/>
  <c r="G89" i="1"/>
  <c r="G47" i="1"/>
  <c r="G52" i="1"/>
  <c r="AF17" i="1"/>
  <c r="AG17" i="1" s="1"/>
  <c r="AI17" i="1" s="1"/>
  <c r="G42" i="1"/>
  <c r="AF28" i="1"/>
  <c r="AH28" i="1" s="1"/>
  <c r="G97" i="1"/>
  <c r="AF13" i="1"/>
  <c r="AH13" i="1" s="1"/>
  <c r="AF26" i="1"/>
  <c r="AG26" i="1" s="1"/>
  <c r="AJ26" i="1" s="1"/>
  <c r="G94" i="1"/>
  <c r="G36" i="1"/>
  <c r="AF24" i="1"/>
  <c r="AG24" i="1" s="1"/>
  <c r="AI24" i="1" s="1"/>
  <c r="G73" i="1"/>
  <c r="I23" i="1"/>
  <c r="I24" i="1"/>
  <c r="AG19" i="1"/>
  <c r="AI19" i="1" s="1"/>
  <c r="AG22" i="1"/>
  <c r="AI22" i="1" s="1"/>
  <c r="W10" i="1"/>
  <c r="Y10" i="1" s="1"/>
  <c r="W19" i="1"/>
  <c r="Y19" i="1" s="1"/>
  <c r="W28" i="1"/>
  <c r="Z28" i="1" s="1"/>
  <c r="AG16" i="1"/>
  <c r="AI16" i="1" s="1"/>
  <c r="Y11" i="1"/>
  <c r="Z11" i="1"/>
  <c r="AI20" i="1"/>
  <c r="AJ20" i="1"/>
  <c r="Y20" i="1"/>
  <c r="Z20" i="1"/>
  <c r="Y12" i="1"/>
  <c r="Z12" i="1"/>
  <c r="Y23" i="1"/>
  <c r="Z23" i="1"/>
  <c r="AI9" i="1"/>
  <c r="AJ9" i="1"/>
  <c r="Y29" i="1"/>
  <c r="Z29" i="1"/>
  <c r="Y14" i="1"/>
  <c r="Z14" i="1"/>
  <c r="Z21" i="1"/>
  <c r="Y21" i="1"/>
  <c r="Y27" i="1"/>
  <c r="Z27" i="1"/>
  <c r="Y9" i="1"/>
  <c r="Z9" i="1"/>
  <c r="Y17" i="1"/>
  <c r="Z17" i="1"/>
  <c r="W13" i="1"/>
  <c r="Y18" i="1"/>
  <c r="Z18" i="1"/>
  <c r="Y26" i="1"/>
  <c r="Z26" i="1"/>
  <c r="W22" i="1"/>
  <c r="W16" i="1"/>
  <c r="AI29" i="1"/>
  <c r="AJ29" i="1"/>
  <c r="AI23" i="1"/>
  <c r="AJ23" i="1"/>
  <c r="W25" i="1"/>
  <c r="AI14" i="1"/>
  <c r="AI18" i="1"/>
  <c r="AJ18" i="1"/>
  <c r="AI11" i="1"/>
  <c r="AJ11" i="1"/>
  <c r="Y24" i="1"/>
  <c r="Z24" i="1"/>
  <c r="Y15" i="1"/>
  <c r="Z15" i="1"/>
  <c r="AJ22" i="1" l="1"/>
  <c r="AJ12" i="1"/>
  <c r="AJ21" i="1"/>
  <c r="Z10" i="1"/>
  <c r="AG25" i="1"/>
  <c r="AI25" i="1" s="1"/>
  <c r="AG10" i="1"/>
  <c r="AJ15" i="1"/>
  <c r="AJ27" i="1"/>
  <c r="AA26" i="1"/>
  <c r="AB26" i="1" s="1"/>
  <c r="AA19" i="1"/>
  <c r="AA17" i="1"/>
  <c r="AB17" i="1" s="1"/>
  <c r="AA28" i="1"/>
  <c r="AC28" i="1" s="1"/>
  <c r="AA21" i="1"/>
  <c r="AB21" i="1" s="1"/>
  <c r="AA24" i="1"/>
  <c r="AB24" i="1" s="1"/>
  <c r="AA14" i="1"/>
  <c r="AB14" i="1" s="1"/>
  <c r="AA20" i="1"/>
  <c r="AB20" i="1" s="1"/>
  <c r="AA10" i="1"/>
  <c r="AC10" i="1" s="1"/>
  <c r="AA12" i="1"/>
  <c r="AB12" i="1" s="1"/>
  <c r="AA11" i="1"/>
  <c r="AB11" i="1" s="1"/>
  <c r="AA23" i="1"/>
  <c r="AB23" i="1" s="1"/>
  <c r="AA25" i="1"/>
  <c r="AC25" i="1" s="1"/>
  <c r="AA9" i="1"/>
  <c r="AB9" i="1" s="1"/>
  <c r="AA13" i="1"/>
  <c r="AC13" i="1" s="1"/>
  <c r="AA27" i="1"/>
  <c r="AB27" i="1" s="1"/>
  <c r="AA16" i="1"/>
  <c r="AC16" i="1" s="1"/>
  <c r="AA18" i="1"/>
  <c r="AB18" i="1" s="1"/>
  <c r="AA29" i="1"/>
  <c r="AB29" i="1" s="1"/>
  <c r="AA15" i="1"/>
  <c r="AB15" i="1" s="1"/>
  <c r="AA22" i="1"/>
  <c r="AC22" i="1" s="1"/>
  <c r="AI26" i="1"/>
  <c r="AG13" i="1"/>
  <c r="AJ24" i="1"/>
  <c r="AJ17" i="1"/>
  <c r="AJ19" i="1"/>
  <c r="AG28" i="1"/>
  <c r="Y28" i="1"/>
  <c r="AJ25" i="1"/>
  <c r="Z19" i="1"/>
  <c r="AJ16" i="1"/>
  <c r="AI10" i="1"/>
  <c r="AJ10" i="1"/>
  <c r="Z13" i="1"/>
  <c r="Y13" i="1"/>
  <c r="Y16" i="1"/>
  <c r="Z16" i="1"/>
  <c r="Y22" i="1"/>
  <c r="Z22" i="1"/>
  <c r="Y25" i="1"/>
  <c r="Z25" i="1"/>
  <c r="AE15" i="1" l="1"/>
  <c r="AD15" i="1"/>
  <c r="AD26" i="1"/>
  <c r="AE26" i="1"/>
  <c r="AD18" i="1"/>
  <c r="AE18" i="1"/>
  <c r="AD12" i="1"/>
  <c r="AE12" i="1"/>
  <c r="AE20" i="1"/>
  <c r="AD20" i="1"/>
  <c r="AJ13" i="1"/>
  <c r="AI13" i="1"/>
  <c r="AE17" i="1"/>
  <c r="AD17" i="1"/>
  <c r="AE27" i="1"/>
  <c r="AD27" i="1"/>
  <c r="AD11" i="1"/>
  <c r="AE11" i="1"/>
  <c r="AD24" i="1"/>
  <c r="AE24" i="1"/>
  <c r="AB22" i="1"/>
  <c r="AD9" i="1"/>
  <c r="AE9" i="1"/>
  <c r="AI28" i="1"/>
  <c r="AJ28" i="1"/>
  <c r="AE21" i="1"/>
  <c r="AD21" i="1"/>
  <c r="AB16" i="1"/>
  <c r="AB28" i="1"/>
  <c r="AE23" i="1"/>
  <c r="AD23" i="1"/>
  <c r="AD14" i="1"/>
  <c r="AE14" i="1"/>
  <c r="AC19" i="1"/>
  <c r="AB19" i="1"/>
  <c r="AB10" i="1"/>
  <c r="AE29" i="1"/>
  <c r="AD29" i="1"/>
  <c r="AB13" i="1"/>
  <c r="AB25" i="1"/>
  <c r="AE13" i="1" l="1"/>
  <c r="AD13" i="1"/>
  <c r="AE16" i="1"/>
  <c r="AD16" i="1"/>
  <c r="AE22" i="1"/>
  <c r="AD22" i="1"/>
  <c r="AD19" i="1"/>
  <c r="AE19" i="1"/>
  <c r="AE28" i="1"/>
  <c r="AD28" i="1"/>
  <c r="AD25" i="1"/>
  <c r="AE25" i="1"/>
  <c r="AE10" i="1"/>
  <c r="AD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67855F-C20F-4DFB-AD66-7D69C52C5645}" keepAlive="1" name="查询 - final_solutions" description="与工作簿中“final_solutions”查询的连接。" type="5" refreshedVersion="8" background="1" saveData="1">
    <dbPr connection="Provider=Microsoft.Mashup.OleDb.1;Data Source=$Workbook$;Location=final_solutions;Extended Properties=&quot;&quot;" command="SELECT * FROM [final_solutions]"/>
  </connection>
</connections>
</file>

<file path=xl/sharedStrings.xml><?xml version="1.0" encoding="utf-8"?>
<sst xmlns="http://schemas.openxmlformats.org/spreadsheetml/2006/main" count="208" uniqueCount="184">
  <si>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</si>
  <si>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</si>
  <si>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</si>
  <si>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</si>
  <si>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</si>
  <si>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</si>
  <si>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</si>
  <si>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</si>
  <si>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</si>
  <si>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</si>
  <si>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</si>
  <si>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</si>
  <si>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</si>
  <si>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</si>
  <si>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</si>
  <si>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</si>
  <si>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</si>
  <si>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</si>
  <si>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</si>
  <si>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</si>
  <si>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</si>
  <si>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</si>
  <si>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</si>
  <si>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</si>
  <si>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</si>
  <si>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</si>
  <si>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</si>
  <si>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</si>
  <si>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</si>
  <si>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</si>
  <si>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</si>
  <si>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</si>
  <si>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</si>
  <si>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</si>
  <si>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</si>
  <si>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</si>
  <si>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</si>
  <si>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</si>
  <si>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</si>
  <si>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</si>
  <si>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</si>
  <si>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</si>
  <si>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</si>
  <si>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</si>
  <si>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</si>
  <si>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</si>
  <si>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</si>
  <si>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</si>
  <si>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</si>
  <si>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</si>
  <si>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</si>
  <si>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</si>
  <si>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</si>
  <si>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</si>
  <si>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</si>
  <si>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</si>
  <si>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</si>
  <si>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</si>
  <si>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</si>
  <si>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</si>
  <si>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</si>
  <si>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</si>
  <si>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</si>
  <si>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</si>
  <si>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</si>
  <si>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</si>
  <si>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</si>
  <si>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</si>
  <si>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</si>
  <si>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</si>
  <si>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</si>
  <si>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</si>
  <si>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</si>
  <si>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</si>
  <si>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</si>
  <si>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</si>
  <si>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</si>
  <si>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</si>
  <si>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</si>
  <si>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</si>
  <si>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</si>
  <si>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</si>
  <si>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x-value</t>
  </si>
  <si>
    <t>y-value</t>
  </si>
  <si>
    <t>z-value</t>
  </si>
  <si>
    <t>x norm</t>
  </si>
  <si>
    <t>y norm</t>
  </si>
  <si>
    <t>z norm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</si>
  <si>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</si>
  <si>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</si>
  <si>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</si>
  <si>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</si>
  <si>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</si>
  <si>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</si>
  <si>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</si>
  <si>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</si>
  <si>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</si>
  <si>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Obj1</t>
    <phoneticPr fontId="12" type="noConversion"/>
  </si>
  <si>
    <t>Obj2</t>
    <phoneticPr fontId="12" type="noConversion"/>
  </si>
  <si>
    <t>Obj3</t>
    <phoneticPr fontId="12" type="noConversion"/>
  </si>
  <si>
    <t>L1</t>
    <phoneticPr fontId="12" type="noConversion"/>
  </si>
  <si>
    <t>L2</t>
    <phoneticPr fontId="12" type="noConversion"/>
  </si>
  <si>
    <t>L3</t>
    <phoneticPr fontId="12" type="noConversion"/>
  </si>
  <si>
    <t>编号</t>
    <phoneticPr fontId="15" type="noConversion"/>
  </si>
  <si>
    <t>参量项</t>
    <phoneticPr fontId="15" type="noConversion"/>
  </si>
  <si>
    <t>定义</t>
    <phoneticPr fontId="15" type="noConversion"/>
  </si>
  <si>
    <t>是否优化</t>
    <phoneticPr fontId="15" type="noConversion"/>
  </si>
  <si>
    <t>基准值</t>
    <phoneticPr fontId="15" type="noConversion"/>
  </si>
  <si>
    <t>下限</t>
    <phoneticPr fontId="15" type="noConversion"/>
  </si>
  <si>
    <t>上限</t>
    <phoneticPr fontId="15" type="noConversion"/>
  </si>
  <si>
    <t>优化参量编号</t>
    <phoneticPr fontId="15" type="noConversion"/>
  </si>
  <si>
    <t xml:space="preserve"> $_TargetVelocity</t>
  </si>
  <si>
    <t>车辆纵向运行速度</t>
    <phoneticPr fontId="15" type="noConversion"/>
  </si>
  <si>
    <t xml:space="preserve"> $_sprCpz</t>
  </si>
  <si>
    <t>一系悬挂阻尼-垂向</t>
  </si>
  <si>
    <t xml:space="preserve"> $_Kpx</t>
  </si>
  <si>
    <t>一系悬挂刚度-纵向</t>
  </si>
  <si>
    <t xml:space="preserve"> $_Kpy</t>
  </si>
  <si>
    <r>
      <t>一系悬挂刚度-横向</t>
    </r>
    <r>
      <rPr>
        <b/>
        <sz val="12"/>
        <color theme="1"/>
        <rFont val="宋体"/>
        <family val="3"/>
        <charset val="134"/>
        <scheme val="minor"/>
      </rPr>
      <t>，与3耦合</t>
    </r>
    <phoneticPr fontId="15" type="noConversion"/>
  </si>
  <si>
    <t xml:space="preserve"> $_Kpz</t>
  </si>
  <si>
    <t>一系悬挂刚度-垂向</t>
  </si>
  <si>
    <t xml:space="preserve"> $_Cpz </t>
  </si>
  <si>
    <t>一系悬挂刚度-串联垂向阻尼</t>
  </si>
  <si>
    <t xml:space="preserve"> $_Ksx </t>
  </si>
  <si>
    <t xml:space="preserve">二系悬挂刚度-纵向 </t>
  </si>
  <si>
    <t xml:space="preserve"> $_Ksy</t>
  </si>
  <si>
    <r>
      <t>二系悬挂刚度-横向</t>
    </r>
    <r>
      <rPr>
        <b/>
        <sz val="12"/>
        <color theme="1"/>
        <rFont val="宋体"/>
        <family val="3"/>
        <charset val="134"/>
        <scheme val="minor"/>
      </rPr>
      <t>，与7耦合</t>
    </r>
    <phoneticPr fontId="15" type="noConversion"/>
  </si>
  <si>
    <t xml:space="preserve"> $_Ksz</t>
  </si>
  <si>
    <t>二系悬挂刚度-垂向</t>
    <phoneticPr fontId="15" type="noConversion"/>
  </si>
  <si>
    <t xml:space="preserve"> $_Csz</t>
  </si>
  <si>
    <t>二系悬挂阻尼-垂向</t>
    <phoneticPr fontId="15" type="noConversion"/>
  </si>
  <si>
    <t xml:space="preserve"> $_Kld</t>
  </si>
  <si>
    <t>横向减振器刚度</t>
    <phoneticPr fontId="15" type="noConversion"/>
  </si>
  <si>
    <t xml:space="preserve"> $_Cld</t>
  </si>
  <si>
    <t>横向减振器阻尼</t>
  </si>
  <si>
    <t xml:space="preserve"> $_Kaar</t>
  </si>
  <si>
    <t>抗侧滚扭杆侧滚角刚度</t>
  </si>
  <si>
    <t xml:space="preserve"> $_Kstr</t>
  </si>
  <si>
    <t>牵引拉杆纵向刚度</t>
  </si>
  <si>
    <t xml:space="preserve"> $_Chx</t>
  </si>
  <si>
    <t>抗蛇行减振器阻尼</t>
    <phoneticPr fontId="15" type="noConversion"/>
  </si>
  <si>
    <t xml:space="preserve"> $_Mc</t>
  </si>
  <si>
    <t>车体质量</t>
  </si>
  <si>
    <t xml:space="preserve"> $_hc</t>
  </si>
  <si>
    <t>车体 质心垂向位置</t>
    <phoneticPr fontId="15" type="noConversion"/>
  </si>
  <si>
    <t xml:space="preserve"> $_Icx</t>
  </si>
  <si>
    <t>车体惯量-Ix</t>
    <phoneticPr fontId="15" type="noConversion"/>
  </si>
  <si>
    <t xml:space="preserve"> $_Icy</t>
  </si>
  <si>
    <t>车体惯量-Iy</t>
    <phoneticPr fontId="15" type="noConversion"/>
  </si>
  <si>
    <t xml:space="preserve"> $_Icz</t>
  </si>
  <si>
    <t>车体惯量-Iz</t>
    <phoneticPr fontId="15" type="noConversion"/>
  </si>
  <si>
    <t xml:space="preserve"> $_Mt</t>
  </si>
  <si>
    <t>构架质量</t>
  </si>
  <si>
    <t xml:space="preserve"> $_ht</t>
  </si>
  <si>
    <t>构架 质心垂向位置</t>
  </si>
  <si>
    <t xml:space="preserve"> $_Itx</t>
  </si>
  <si>
    <t>构架惯量-Ix</t>
    <phoneticPr fontId="15" type="noConversion"/>
  </si>
  <si>
    <t xml:space="preserve"> $_Ity</t>
  </si>
  <si>
    <t>构架惯量-Iy</t>
    <phoneticPr fontId="15" type="noConversion"/>
  </si>
  <si>
    <t xml:space="preserve"> $_Itz</t>
  </si>
  <si>
    <t>构架惯量-Iz</t>
    <phoneticPr fontId="15" type="noConversion"/>
  </si>
  <si>
    <t xml:space="preserve"> $_Mw</t>
  </si>
  <si>
    <t>轮对质量</t>
  </si>
  <si>
    <t xml:space="preserve"> $_Iwx</t>
  </si>
  <si>
    <t>轮对惯量-Ix</t>
    <phoneticPr fontId="15" type="noConversion"/>
  </si>
  <si>
    <t xml:space="preserve"> $_Iwy</t>
  </si>
  <si>
    <t>轮对惯量-Iy</t>
    <phoneticPr fontId="15" type="noConversion"/>
  </si>
  <si>
    <t xml:space="preserve"> $_Iwz</t>
  </si>
  <si>
    <t>轮对惯量-Iz</t>
    <phoneticPr fontId="15" type="noConversion"/>
  </si>
  <si>
    <t xml:space="preserve"> $_Lx1</t>
  </si>
  <si>
    <t>构架侧横向定位间距</t>
    <phoneticPr fontId="15" type="noConversion"/>
  </si>
  <si>
    <t xml:space="preserve"> $_Lx2</t>
  </si>
  <si>
    <t>轴桥侧横向定位间距</t>
    <phoneticPr fontId="15" type="noConversion"/>
  </si>
  <si>
    <t xml:space="preserve"> $_Lx3</t>
  </si>
  <si>
    <t>纵向定位调整值，可为负数</t>
    <phoneticPr fontId="15" type="noConversion"/>
  </si>
  <si>
    <t>曲线磨耗数</t>
    <phoneticPr fontId="12" type="noConversion"/>
  </si>
  <si>
    <t>Sperling RMS</t>
    <phoneticPr fontId="12" type="noConversion"/>
  </si>
  <si>
    <r>
      <rPr>
        <b/>
        <sz val="12"/>
        <color theme="1"/>
        <rFont val="微软雅黑"/>
        <family val="2"/>
        <charset val="134"/>
      </rPr>
      <t>临界速度</t>
    </r>
    <r>
      <rPr>
        <b/>
        <sz val="12"/>
        <color theme="1"/>
        <rFont val="Verdana"/>
        <family val="2"/>
      </rPr>
      <t xml:space="preserve"> kmph</t>
    </r>
    <phoneticPr fontId="12" type="noConversion"/>
  </si>
  <si>
    <t>减至50000</t>
    <phoneticPr fontId="12" type="noConversion"/>
  </si>
  <si>
    <t>不变</t>
    <phoneticPr fontId="12" type="noConversion"/>
  </si>
  <si>
    <t>增减</t>
    <phoneticPr fontId="12" type="noConversion"/>
  </si>
  <si>
    <r>
      <rPr>
        <b/>
        <sz val="12"/>
        <color theme="1"/>
        <rFont val="宋体"/>
        <family val="3"/>
        <charset val="134"/>
      </rPr>
      <t>减至</t>
    </r>
    <r>
      <rPr>
        <b/>
        <sz val="12"/>
        <color theme="1"/>
        <rFont val="Times New Roman"/>
        <family val="1"/>
      </rPr>
      <t>15000</t>
    </r>
    <phoneticPr fontId="12" type="noConversion"/>
  </si>
  <si>
    <r>
      <rPr>
        <b/>
        <sz val="12"/>
        <color theme="1"/>
        <rFont val="宋体"/>
        <family val="3"/>
        <charset val="134"/>
      </rPr>
      <t>减至</t>
    </r>
    <r>
      <rPr>
        <b/>
        <sz val="12"/>
        <color theme="1"/>
        <rFont val="Times New Roman"/>
        <family val="1"/>
      </rPr>
      <t>2000</t>
    </r>
    <phoneticPr fontId="12" type="noConversion"/>
  </si>
  <si>
    <r>
      <rPr>
        <b/>
        <sz val="12"/>
        <color theme="1"/>
        <rFont val="宋体"/>
        <family val="3"/>
        <charset val="134"/>
      </rPr>
      <t>增加至</t>
    </r>
    <r>
      <rPr>
        <b/>
        <sz val="12"/>
        <color theme="1"/>
        <rFont val="Times New Roman"/>
        <family val="1"/>
      </rPr>
      <t>60000000</t>
    </r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</si>
</sst>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{0\}"/>
    <numFmt numFmtId="177" formatCode="0.00_ "/>
  </numFmts>
  <fonts count="27">
    <font>
      <sz val="10"/>
      <name val="Verdana"/>
    </font>
    <font>
      <b/>
      <sz val="10"/>
      <name val="Verdana"/>
      <family val="2"/>
    </font>
    <font>
      <sz val="10"/>
      <name val="Verdana"/>
      <family val="2"/>
    </font>
    <font>
      <sz val="10"/>
      <color indexed="12"/>
      <name val="Verdana"/>
      <family val="2"/>
    </font>
    <font>
      <sz val="8"/>
      <name val="Verdana"/>
      <family val="2"/>
    </font>
    <font>
      <sz val="10"/>
      <color indexed="60"/>
      <name val="Verdana"/>
      <family val="2"/>
    </font>
    <font>
      <i/>
      <sz val="10"/>
      <color indexed="60"/>
      <name val="Verdana"/>
      <family val="2"/>
    </font>
    <font>
      <b/>
      <sz val="14"/>
      <name val="Verdana"/>
      <family val="2"/>
    </font>
    <font>
      <u/>
      <sz val="10"/>
      <color theme="10"/>
      <name val="Verdana"/>
      <family val="2"/>
    </font>
    <font>
      <u/>
      <sz val="10"/>
      <color theme="11"/>
      <name val="Verdana"/>
      <family val="2"/>
    </font>
    <font>
      <sz val="10"/>
      <color rgb="FF000000"/>
      <name val="Geneva"/>
    </font>
    <font>
      <sz val="10"/>
      <color theme="1"/>
      <name val="Verdana"/>
      <family val="2"/>
    </font>
    <font>
      <sz val="9"/>
      <name val="宋体"/>
      <family val="3"/>
      <charset val="134"/>
    </font>
    <font>
      <sz val="12"/>
      <color theme="1"/>
      <name val="Times New Roman"/>
      <family val="1"/>
    </font>
    <font>
      <b/>
      <sz val="12"/>
      <color theme="1"/>
      <name val="等线"/>
      <family val="3"/>
      <charset val="134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2"/>
      <name val="Times New Roman"/>
      <family val="1"/>
    </font>
    <font>
      <b/>
      <sz val="12"/>
      <color theme="1"/>
      <name val="Verdana"/>
      <family val="2"/>
    </font>
    <font>
      <b/>
      <sz val="12"/>
      <color theme="1"/>
      <name val="微软雅黑"/>
      <family val="2"/>
      <charset val="134"/>
    </font>
    <font>
      <b/>
      <sz val="12"/>
      <color theme="1"/>
      <name val="Verdana"/>
      <family val="2"/>
      <charset val="134"/>
    </font>
    <font>
      <sz val="12"/>
      <color theme="1"/>
      <name val="Verdana"/>
      <family val="2"/>
    </font>
    <font>
      <b/>
      <sz val="12"/>
      <color theme="1"/>
      <name val="宋体"/>
      <family val="1"/>
      <charset val="134"/>
    </font>
    <font>
      <b/>
      <sz val="12"/>
      <color theme="1"/>
      <name val="Times New Roman"/>
      <family val="1"/>
    </font>
    <font>
      <b/>
      <sz val="12"/>
      <color theme="1"/>
      <name val="宋体"/>
      <family val="3"/>
      <charset val="134"/>
    </font>
    <font>
      <b/>
      <sz val="12"/>
      <color theme="1"/>
      <name val="Times New Roman"/>
      <family val="3"/>
      <charset val="134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7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87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/>
    <xf numFmtId="0" fontId="1" fillId="0" borderId="9" xfId="0" applyFont="1" applyBorder="1"/>
    <xf numFmtId="0" fontId="1" fillId="0" borderId="3" xfId="0" applyFont="1" applyBorder="1"/>
    <xf numFmtId="0" fontId="0" fillId="0" borderId="10" xfId="0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0" xfId="0" applyAlignment="1">
      <alignment horizontal="right"/>
    </xf>
    <xf numFmtId="0" fontId="0" fillId="0" borderId="5" xfId="0" quotePrefix="1" applyBorder="1"/>
    <xf numFmtId="0" fontId="0" fillId="0" borderId="6" xfId="0" quotePrefix="1" applyBorder="1"/>
    <xf numFmtId="0" fontId="0" fillId="0" borderId="11" xfId="0" applyBorder="1"/>
    <xf numFmtId="0" fontId="5" fillId="0" borderId="0" xfId="0" applyFont="1"/>
    <xf numFmtId="0" fontId="5" fillId="0" borderId="2" xfId="0" applyFont="1" applyBorder="1"/>
    <xf numFmtId="0" fontId="5" fillId="0" borderId="6" xfId="0" applyFont="1" applyBorder="1"/>
    <xf numFmtId="0" fontId="5" fillId="0" borderId="10" xfId="0" applyFont="1" applyBorder="1"/>
    <xf numFmtId="176" fontId="5" fillId="0" borderId="3" xfId="0" applyNumberFormat="1" applyFont="1" applyBorder="1" applyAlignment="1">
      <alignment horizontal="center"/>
    </xf>
    <xf numFmtId="0" fontId="5" fillId="0" borderId="3" xfId="0" applyFont="1" applyBorder="1"/>
    <xf numFmtId="0" fontId="5" fillId="0" borderId="9" xfId="0" applyFont="1" applyBorder="1"/>
    <xf numFmtId="0" fontId="5" fillId="0" borderId="4" xfId="0" applyFont="1" applyBorder="1"/>
    <xf numFmtId="0" fontId="5" fillId="0" borderId="5" xfId="0" applyFont="1" applyBorder="1"/>
    <xf numFmtId="0" fontId="6" fillId="0" borderId="0" xfId="0" applyFont="1"/>
    <xf numFmtId="0" fontId="6" fillId="0" borderId="2" xfId="0" applyFont="1" applyBorder="1"/>
    <xf numFmtId="0" fontId="6" fillId="0" borderId="6" xfId="0" applyFont="1" applyBorder="1"/>
    <xf numFmtId="0" fontId="6" fillId="0" borderId="10" xfId="0" applyFont="1" applyBorder="1"/>
    <xf numFmtId="0" fontId="6" fillId="0" borderId="1" xfId="0" applyFont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3" borderId="0" xfId="0" applyFont="1" applyFill="1"/>
    <xf numFmtId="0" fontId="5" fillId="3" borderId="1" xfId="0" applyFont="1" applyFill="1" applyBorder="1"/>
    <xf numFmtId="0" fontId="5" fillId="3" borderId="2" xfId="0" applyFont="1" applyFill="1" applyBorder="1"/>
    <xf numFmtId="0" fontId="2" fillId="4" borderId="0" xfId="0" applyFont="1" applyFill="1"/>
    <xf numFmtId="0" fontId="0" fillId="0" borderId="0" xfId="0" applyAlignment="1">
      <alignment vertical="center"/>
    </xf>
    <xf numFmtId="177" fontId="13" fillId="5" borderId="12" xfId="0" applyNumberFormat="1" applyFont="1" applyFill="1" applyBorder="1" applyAlignment="1">
      <alignment horizontal="center" vertical="center"/>
    </xf>
    <xf numFmtId="0" fontId="14" fillId="6" borderId="12" xfId="0" applyFont="1" applyFill="1" applyBorder="1" applyAlignment="1">
      <alignment horizontal="center" vertical="center"/>
    </xf>
    <xf numFmtId="0" fontId="14" fillId="7" borderId="12" xfId="0" applyFont="1" applyFill="1" applyBorder="1" applyAlignment="1">
      <alignment horizontal="center" vertical="center"/>
    </xf>
    <xf numFmtId="0" fontId="14" fillId="8" borderId="12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0" fontId="13" fillId="6" borderId="12" xfId="0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6" fillId="7" borderId="12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177" fontId="13" fillId="10" borderId="12" xfId="0" applyNumberFormat="1" applyFont="1" applyFill="1" applyBorder="1" applyAlignment="1">
      <alignment horizontal="center" vertical="center"/>
    </xf>
    <xf numFmtId="177" fontId="13" fillId="11" borderId="12" xfId="0" applyNumberFormat="1" applyFont="1" applyFill="1" applyBorder="1" applyAlignment="1">
      <alignment horizontal="center" vertical="center"/>
    </xf>
    <xf numFmtId="49" fontId="13" fillId="11" borderId="12" xfId="0" applyNumberFormat="1" applyFont="1" applyFill="1" applyBorder="1" applyAlignment="1">
      <alignment horizontal="center" vertical="center"/>
    </xf>
    <xf numFmtId="177" fontId="18" fillId="5" borderId="12" xfId="0" applyNumberFormat="1" applyFont="1" applyFill="1" applyBorder="1" applyAlignment="1">
      <alignment horizontal="center" vertical="center"/>
    </xf>
    <xf numFmtId="0" fontId="13" fillId="11" borderId="12" xfId="0" applyFont="1" applyFill="1" applyBorder="1" applyAlignment="1">
      <alignment horizontal="center" vertical="center"/>
    </xf>
    <xf numFmtId="0" fontId="0" fillId="0" borderId="12" xfId="0" applyBorder="1"/>
    <xf numFmtId="0" fontId="19" fillId="5" borderId="12" xfId="0" applyFont="1" applyFill="1" applyBorder="1" applyAlignment="1">
      <alignment horizontal="center" vertical="center"/>
    </xf>
    <xf numFmtId="0" fontId="21" fillId="5" borderId="12" xfId="0" applyFont="1" applyFill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11" fillId="0" borderId="0" xfId="0" applyFont="1"/>
    <xf numFmtId="0" fontId="22" fillId="12" borderId="12" xfId="0" applyFont="1" applyFill="1" applyBorder="1" applyAlignment="1">
      <alignment horizontal="center" vertical="center"/>
    </xf>
    <xf numFmtId="177" fontId="13" fillId="13" borderId="12" xfId="0" applyNumberFormat="1" applyFont="1" applyFill="1" applyBorder="1" applyAlignment="1">
      <alignment horizontal="center" vertical="center"/>
    </xf>
    <xf numFmtId="49" fontId="24" fillId="13" borderId="12" xfId="0" applyNumberFormat="1" applyFont="1" applyFill="1" applyBorder="1" applyAlignment="1">
      <alignment horizontal="center" vertical="center"/>
    </xf>
    <xf numFmtId="49" fontId="23" fillId="14" borderId="12" xfId="0" applyNumberFormat="1" applyFont="1" applyFill="1" applyBorder="1" applyAlignment="1">
      <alignment horizontal="center" vertical="center"/>
    </xf>
    <xf numFmtId="49" fontId="26" fillId="13" borderId="12" xfId="0" applyNumberFormat="1" applyFont="1" applyFill="1" applyBorder="1" applyAlignment="1">
      <alignment horizontal="center" vertical="center"/>
    </xf>
    <xf numFmtId="177" fontId="13" fillId="15" borderId="12" xfId="0" applyNumberFormat="1" applyFont="1" applyFill="1" applyBorder="1" applyAlignment="1">
      <alignment horizontal="center" vertical="center"/>
    </xf>
    <xf numFmtId="0" fontId="13" fillId="15" borderId="12" xfId="0" applyFont="1" applyFill="1" applyBorder="1" applyAlignment="1">
      <alignment horizontal="center" vertical="center"/>
    </xf>
  </cellXfs>
  <cellStyles count="3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</cellStyles>
  <dxfs count="19">
    <dxf>
      <border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Verdana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811366384522401E-2"/>
          <c:y val="2.6651216685979098E-2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22-4070-BF6A-5872E0FE5757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22-4070-BF6A-5872E0FE5757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B22-4070-BF6A-5872E0FE5757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B22-4070-BF6A-5872E0FE5757}"/>
                </c:ext>
              </c:extLst>
            </c:dLbl>
            <c:dLbl>
              <c:idx val="4"/>
              <c:tx>
                <c:strRef>
                  <c:f>plot!$C$32</c:f>
                  <c:strCache>
                    <c:ptCount val="1"/>
                    <c:pt idx="0">
                      <c:v>x-value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{032F28D8-309C-49DF-88BC-60F5BEA9FAFC}</c15:txfldGUID>
                      <c15:f>plot!$C$32</c15:f>
                      <c15:dlblFieldTableCache>
                        <c:ptCount val="1"/>
                        <c:pt idx="0">
                          <c:v>x-value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CB22-4070-BF6A-5872E0FE5757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B22-4070-BF6A-5872E0FE5757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B22-4070-BF6A-5872E0FE575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B22-4070-BF6A-5872E0FE5757}"/>
                </c:ext>
              </c:extLst>
            </c:dLbl>
            <c:dLbl>
              <c:idx val="8"/>
              <c:tx>
                <c:strRef>
                  <c:f>plot!$E$32</c:f>
                  <c:strCache>
                    <c:ptCount val="1"/>
                    <c:pt idx="0">
                      <c:v>z-value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{92B2A5CE-4B43-49C9-8587-7C8E13B136A2}</c15:txfldGUID>
                      <c15:f>plot!$E$32</c15:f>
                      <c15:dlblFieldTableCache>
                        <c:ptCount val="1"/>
                        <c:pt idx="0">
                          <c:v>z-value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CB22-4070-BF6A-5872E0FE575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B22-4070-BF6A-5872E0FE5757}"/>
                </c:ext>
              </c:extLst>
            </c:dLbl>
            <c:dLbl>
              <c:idx val="10"/>
              <c:tx>
                <c:strRef>
                  <c:f>plot!$D$32</c:f>
                  <c:strCache>
                    <c:ptCount val="1"/>
                    <c:pt idx="0">
                      <c:v>y-value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{C367A2BE-3E19-4A1F-8C95-E4DD398D0F6E}</c15:txfldGUID>
                      <c15:f>plot!$D$32</c15:f>
                      <c15:dlblFieldTableCache>
                        <c:ptCount val="1"/>
                        <c:pt idx="0">
                          <c:v>y-value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CB22-4070-BF6A-5872E0FE57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-0.70699908539882428</c:v>
                </c:pt>
                <c:pt idx="1">
                  <c:v>-1.2340714939826974E-2</c:v>
                </c:pt>
                <c:pt idx="2">
                  <c:v>-1.2340714939826853E-2</c:v>
                </c:pt>
                <c:pt idx="3">
                  <c:v>-0.70699908539882406</c:v>
                </c:pt>
                <c:pt idx="4">
                  <c:v>-0.70699908539882428</c:v>
                </c:pt>
                <c:pt idx="5">
                  <c:v>1.2340714939826853E-2</c:v>
                </c:pt>
                <c:pt idx="6">
                  <c:v>0.70699908539882406</c:v>
                </c:pt>
                <c:pt idx="7">
                  <c:v>0.70699908539882428</c:v>
                </c:pt>
                <c:pt idx="8">
                  <c:v>-1.2340714939826853E-2</c:v>
                </c:pt>
                <c:pt idx="9">
                  <c:v>-1.2340714939826974E-2</c:v>
                </c:pt>
                <c:pt idx="10">
                  <c:v>0.70699908539882406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-0.48813335228929622</c:v>
                </c:pt>
                <c:pt idx="1">
                  <c:v>-0.3141093042110833</c:v>
                </c:pt>
                <c:pt idx="2">
                  <c:v>0.65618642206491318</c:v>
                </c:pt>
                <c:pt idx="3">
                  <c:v>0.48216237398670025</c:v>
                </c:pt>
                <c:pt idx="4">
                  <c:v>-0.48813335228929622</c:v>
                </c:pt>
                <c:pt idx="5">
                  <c:v>-0.65618642206491318</c:v>
                </c:pt>
                <c:pt idx="6">
                  <c:v>-0.48216237398670025</c:v>
                </c:pt>
                <c:pt idx="7">
                  <c:v>0.48813335228929622</c:v>
                </c:pt>
                <c:pt idx="8">
                  <c:v>0.65618642206491318</c:v>
                </c:pt>
                <c:pt idx="9">
                  <c:v>-0.3141093042110833</c:v>
                </c:pt>
                <c:pt idx="10">
                  <c:v>-0.48216237398670025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B22-4070-BF6A-5872E0FE5757}"/>
            </c:ext>
          </c:extLst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{05D4950B-3368-48C6-9BB3-A22A0D4981E3}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CB22-4070-BF6A-5872E0FE5757}"/>
                </c:ext>
              </c:extLst>
            </c:dLbl>
            <c:dLbl>
              <c:idx val="1"/>
              <c:tx>
                <c:strRef>
                  <c:f>plot!$X$10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{0956BB93-F403-4D67-BD94-B2398A1C0E58}</c15:txfldGUID>
                      <c15:f>plot!$X$10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CB22-4070-BF6A-5872E0FE5757}"/>
                </c:ext>
              </c:extLst>
            </c:dLbl>
            <c:dLbl>
              <c:idx val="2"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{258C2D82-9577-4D72-A013-0D41C0470E81}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CB22-4070-BF6A-5872E0FE5757}"/>
                </c:ext>
              </c:extLst>
            </c:dLbl>
            <c:dLbl>
              <c:idx val="3"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{C80D0C48-BF86-4CA1-9FB8-B2C6A9F193B0}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CB22-4070-BF6A-5872E0FE5757}"/>
                </c:ext>
              </c:extLst>
            </c:dLbl>
            <c:dLbl>
              <c:idx val="4"/>
              <c:tx>
                <c:strRef>
                  <c:f>plot!$X$13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{9C6E15A7-0513-46B0-8BCE-66B063C49DDD}</c15:txfldGUID>
                      <c15:f>plot!$X$13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CB22-4070-BF6A-5872E0FE5757}"/>
                </c:ext>
              </c:extLst>
            </c:dLbl>
            <c:dLbl>
              <c:idx val="5"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{824338B7-EFB1-4E2B-9F84-3F16091B8E9F}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CB22-4070-BF6A-5872E0FE5757}"/>
                </c:ext>
              </c:extLst>
            </c:dLbl>
            <c:dLbl>
              <c:idx val="6"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{27FD991A-C040-46A8-B661-0041CA9D7594}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CB22-4070-BF6A-5872E0FE5757}"/>
                </c:ext>
              </c:extLst>
            </c:dLbl>
            <c:dLbl>
              <c:idx val="7"/>
              <c:tx>
                <c:strRef>
                  <c:f>plot!$X$16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{2FC50793-ED71-4C54-ACDE-FBF248491AC0}</c15:txfldGUID>
                      <c15:f>plot!$X$16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CB22-4070-BF6A-5872E0FE5757}"/>
                </c:ext>
              </c:extLst>
            </c:dLbl>
            <c:dLbl>
              <c:idx val="8"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{A700329F-9036-4853-8EBE-C371C865504F}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CB22-4070-BF6A-5872E0FE5757}"/>
                </c:ext>
              </c:extLst>
            </c:dLbl>
            <c:dLbl>
              <c:idx val="9"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{BBAE3A4E-0D87-4D1F-B060-D2B49CF5F17B}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CB22-4070-BF6A-5872E0FE5757}"/>
                </c:ext>
              </c:extLst>
            </c:dLbl>
            <c:dLbl>
              <c:idx val="10"/>
              <c:tx>
                <c:strRef>
                  <c:f>plot!$X$19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{DAF0685F-9AB4-4471-A235-40285EC2C3BF}</c15:txfldGUID>
                      <c15:f>plot!$X$19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CB22-4070-BF6A-5872E0FE5757}"/>
                </c:ext>
              </c:extLst>
            </c:dLbl>
            <c:dLbl>
              <c:idx val="11"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{5B6E3FB6-6A63-4FB7-B304-A56A1C73D3AD}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CB22-4070-BF6A-5872E0FE5757}"/>
                </c:ext>
              </c:extLst>
            </c:dLbl>
            <c:dLbl>
              <c:idx val="12"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{1E22AF4D-57CD-4278-824B-F946D29F8455}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CB22-4070-BF6A-5872E0FE5757}"/>
                </c:ext>
              </c:extLst>
            </c:dLbl>
            <c:dLbl>
              <c:idx val="13"/>
              <c:tx>
                <c:strRef>
                  <c:f>plot!$X$22</c:f>
                  <c:strCache>
                    <c:ptCount val="1"/>
                    <c:pt idx="0">
                      <c:v>700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{64AA3F65-E406-4A77-B681-73B940DEECAA}</c15:txfldGUID>
                      <c15:f>plot!$X$22</c15:f>
                      <c15:dlblFieldTableCache>
                        <c:ptCount val="1"/>
                        <c:pt idx="0">
                          <c:v>700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CB22-4070-BF6A-5872E0FE5757}"/>
                </c:ext>
              </c:extLst>
            </c:dLbl>
            <c:dLbl>
              <c:idx val="14"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{8278997D-F25F-4293-A266-C303DB3BB7D9}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CB22-4070-BF6A-5872E0FE5757}"/>
                </c:ext>
              </c:extLst>
            </c:dLbl>
            <c:dLbl>
              <c:idx val="15"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{6AC061B0-059E-4050-85FE-0AB37E89356C}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CB22-4070-BF6A-5872E0FE5757}"/>
                </c:ext>
              </c:extLst>
            </c:dLbl>
            <c:dLbl>
              <c:idx val="16"/>
              <c:tx>
                <c:strRef>
                  <c:f>plot!$X$25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{E9A845E9-6275-4984-B620-209C803004D5}</c15:txfldGUID>
                      <c15:f>plot!$X$25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CB22-4070-BF6A-5872E0FE5757}"/>
                </c:ext>
              </c:extLst>
            </c:dLbl>
            <c:dLbl>
              <c:idx val="17"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{F704CCFB-3547-44A6-A7B9-035DC0F91588}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CB22-4070-BF6A-5872E0FE5757}"/>
                </c:ext>
              </c:extLst>
            </c:dLbl>
            <c:dLbl>
              <c:idx val="18"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{EC927784-0D36-4624-80DE-63BF86489FBD}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CB22-4070-BF6A-5872E0FE5757}"/>
                </c:ext>
              </c:extLst>
            </c:dLbl>
            <c:dLbl>
              <c:idx val="19"/>
              <c:tx>
                <c:strRef>
                  <c:f>plot!$X$28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{53069C6D-17E6-4EC1-AA4E-D4D32B3DA53C}</c15:txfldGUID>
                      <c15:f>plot!$X$28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CB22-4070-BF6A-5872E0FE5757}"/>
                </c:ext>
              </c:extLst>
            </c:dLbl>
            <c:dLbl>
              <c:idx val="20"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{12A64019-5EDE-4DA3-851C-F1D67B8CADCA}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CB22-4070-BF6A-5872E0FE57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0.65383645504127241</c:v>
                </c:pt>
                <c:pt idx="1">
                  <c:v>0.72577043507513739</c:v>
                </c:pt>
                <c:pt idx="2">
                  <c:v>0.65383645504127241</c:v>
                </c:pt>
                <c:pt idx="3">
                  <c:v>0.54042284361182868</c:v>
                </c:pt>
                <c:pt idx="4">
                  <c:v>0.61235682364569366</c:v>
                </c:pt>
                <c:pt idx="5">
                  <c:v>0.54042284361182868</c:v>
                </c:pt>
                <c:pt idx="6">
                  <c:v>0.42700923218238496</c:v>
                </c:pt>
                <c:pt idx="7">
                  <c:v>0.49894321221625004</c:v>
                </c:pt>
                <c:pt idx="8">
                  <c:v>0.42700923218238496</c:v>
                </c:pt>
                <c:pt idx="9">
                  <c:v>0.31359562075294123</c:v>
                </c:pt>
                <c:pt idx="10">
                  <c:v>0.38552960078680631</c:v>
                </c:pt>
                <c:pt idx="11">
                  <c:v>0.31359562075294123</c:v>
                </c:pt>
                <c:pt idx="12">
                  <c:v>0.20018200932349753</c:v>
                </c:pt>
                <c:pt idx="13">
                  <c:v>0.27211598935736264</c:v>
                </c:pt>
                <c:pt idx="14">
                  <c:v>0.20018200932349753</c:v>
                </c:pt>
                <c:pt idx="15">
                  <c:v>8.6768397894053828E-2</c:v>
                </c:pt>
                <c:pt idx="16">
                  <c:v>0.15870237792791891</c:v>
                </c:pt>
                <c:pt idx="17">
                  <c:v>8.6768397894053828E-2</c:v>
                </c:pt>
                <c:pt idx="18">
                  <c:v>8.6768397894053828E-2</c:v>
                </c:pt>
                <c:pt idx="19">
                  <c:v>0.15870237792791891</c:v>
                </c:pt>
                <c:pt idx="20">
                  <c:v>8.6768397894053828E-2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-0.49548054092276383</c:v>
                </c:pt>
                <c:pt idx="1">
                  <c:v>-0.51228584790032561</c:v>
                </c:pt>
                <c:pt idx="2">
                  <c:v>-0.49548054092276383</c:v>
                </c:pt>
                <c:pt idx="3">
                  <c:v>-0.52389263038636624</c:v>
                </c:pt>
                <c:pt idx="4">
                  <c:v>-0.54069793736392791</c:v>
                </c:pt>
                <c:pt idx="5">
                  <c:v>-0.52389263038636624</c:v>
                </c:pt>
                <c:pt idx="6">
                  <c:v>-0.55230471984996865</c:v>
                </c:pt>
                <c:pt idx="7">
                  <c:v>-0.56911002682753031</c:v>
                </c:pt>
                <c:pt idx="8">
                  <c:v>-0.55230471984996865</c:v>
                </c:pt>
                <c:pt idx="9">
                  <c:v>-0.58071680931357095</c:v>
                </c:pt>
                <c:pt idx="10">
                  <c:v>-0.59752211629113272</c:v>
                </c:pt>
                <c:pt idx="11">
                  <c:v>-0.58071680931357095</c:v>
                </c:pt>
                <c:pt idx="12">
                  <c:v>-0.60912889877717336</c:v>
                </c:pt>
                <c:pt idx="13">
                  <c:v>-0.62593420575473502</c:v>
                </c:pt>
                <c:pt idx="14">
                  <c:v>-0.60912889877717336</c:v>
                </c:pt>
                <c:pt idx="15">
                  <c:v>-0.63754098824077576</c:v>
                </c:pt>
                <c:pt idx="16">
                  <c:v>-0.65434629521833743</c:v>
                </c:pt>
                <c:pt idx="17">
                  <c:v>-0.63754098824077576</c:v>
                </c:pt>
                <c:pt idx="18">
                  <c:v>-0.63754098824077576</c:v>
                </c:pt>
                <c:pt idx="19">
                  <c:v>-0.65434629521833743</c:v>
                </c:pt>
                <c:pt idx="20">
                  <c:v>-0.63754098824077576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B22-4070-BF6A-5872E0FE5757}"/>
            </c:ext>
          </c:extLst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plot!$M$33:$M$218</c:f>
              <c:numCache>
                <c:formatCode>General</c:formatCode>
                <c:ptCount val="186"/>
                <c:pt idx="0">
                  <c:v>1.0255625899091641E-3</c:v>
                </c:pt>
                <c:pt idx="1">
                  <c:v>2.4394648447651573E-3</c:v>
                </c:pt>
                <c:pt idx="2">
                  <c:v>3.1301865903141162E-3</c:v>
                </c:pt>
                <c:pt idx="3">
                  <c:v>-9.6128004806183189E-3</c:v>
                </c:pt>
                <c:pt idx="4">
                  <c:v>0.49594534685043629</c:v>
                </c:pt>
                <c:pt idx="5">
                  <c:v>7.4072874097078105E-3</c:v>
                </c:pt>
                <c:pt idx="6">
                  <c:v>8.6438238489995375E-3</c:v>
                </c:pt>
                <c:pt idx="7">
                  <c:v>4.1763327736546469E-3</c:v>
                </c:pt>
                <c:pt idx="8">
                  <c:v>0.62957535962121092</c:v>
                </c:pt>
                <c:pt idx="9">
                  <c:v>0.63746704559861977</c:v>
                </c:pt>
                <c:pt idx="10">
                  <c:v>0.49594534685043629</c:v>
                </c:pt>
                <c:pt idx="11">
                  <c:v>7.4072874097078105E-3</c:v>
                </c:pt>
                <c:pt idx="12">
                  <c:v>8.6438238489995375E-3</c:v>
                </c:pt>
                <c:pt idx="13">
                  <c:v>4.1763327736546469E-3</c:v>
                </c:pt>
                <c:pt idx="14">
                  <c:v>0.62957535962121092</c:v>
                </c:pt>
                <c:pt idx="15">
                  <c:v>0.63746704559861977</c:v>
                </c:pt>
                <c:pt idx="16">
                  <c:v>0.2847129722055684</c:v>
                </c:pt>
                <c:pt idx="17">
                  <c:v>0.58335421566704571</c:v>
                </c:pt>
                <c:pt idx="18">
                  <c:v>0.26960698810768419</c:v>
                </c:pt>
                <c:pt idx="19">
                  <c:v>0.29166426288587449</c:v>
                </c:pt>
                <c:pt idx="20">
                  <c:v>0.14256715293010555</c:v>
                </c:pt>
                <c:pt idx="21">
                  <c:v>-9.6796616029116954E-3</c:v>
                </c:pt>
                <c:pt idx="22">
                  <c:v>-1.1794014135803279E-2</c:v>
                </c:pt>
                <c:pt idx="23">
                  <c:v>8.8183510253051541E-3</c:v>
                </c:pt>
                <c:pt idx="24">
                  <c:v>9.1850154999210728E-3</c:v>
                </c:pt>
                <c:pt idx="25">
                  <c:v>0.482139531818843</c:v>
                </c:pt>
                <c:pt idx="26">
                  <c:v>-6.0074605960456036E-3</c:v>
                </c:pt>
                <c:pt idx="27">
                  <c:v>9.5483690471953014E-2</c:v>
                </c:pt>
                <c:pt idx="28">
                  <c:v>1.238293552236364E-2</c:v>
                </c:pt>
                <c:pt idx="29">
                  <c:v>1.584107551432128E-2</c:v>
                </c:pt>
                <c:pt idx="30">
                  <c:v>0.69746753254736582</c:v>
                </c:pt>
                <c:pt idx="31">
                  <c:v>3.6103989969182501E-2</c:v>
                </c:pt>
                <c:pt idx="32">
                  <c:v>0.41600981924590991</c:v>
                </c:pt>
                <c:pt idx="33">
                  <c:v>0.13992390870421345</c:v>
                </c:pt>
                <c:pt idx="34">
                  <c:v>1.8414149714818473E-2</c:v>
                </c:pt>
                <c:pt idx="35">
                  <c:v>0.46905014222854108</c:v>
                </c:pt>
                <c:pt idx="36">
                  <c:v>2.0887471126624646E-2</c:v>
                </c:pt>
                <c:pt idx="37">
                  <c:v>0.68050680836044963</c:v>
                </c:pt>
                <c:pt idx="38">
                  <c:v>0.2782796929860713</c:v>
                </c:pt>
                <c:pt idx="39">
                  <c:v>2.0995639120282572E-2</c:v>
                </c:pt>
                <c:pt idx="40">
                  <c:v>0.39005461356748156</c:v>
                </c:pt>
                <c:pt idx="41">
                  <c:v>2.322165373155044E-2</c:v>
                </c:pt>
                <c:pt idx="42">
                  <c:v>-8.8400042931895129E-3</c:v>
                </c:pt>
                <c:pt idx="43">
                  <c:v>-1.1590313545038989E-2</c:v>
                </c:pt>
                <c:pt idx="44">
                  <c:v>0.46459493974031613</c:v>
                </c:pt>
                <c:pt idx="45">
                  <c:v>0.34316552601884337</c:v>
                </c:pt>
                <c:pt idx="46">
                  <c:v>-1.2340714939826853E-2</c:v>
                </c:pt>
                <c:pt idx="47">
                  <c:v>2.3726242773936205E-2</c:v>
                </c:pt>
                <c:pt idx="48">
                  <c:v>2.6146322846490266E-2</c:v>
                </c:pt>
                <c:pt idx="49">
                  <c:v>2.9122125641490137E-2</c:v>
                </c:pt>
                <c:pt idx="50">
                  <c:v>0.69236986680538981</c:v>
                </c:pt>
                <c:pt idx="51">
                  <c:v>3.7169990383332518E-2</c:v>
                </c:pt>
                <c:pt idx="52">
                  <c:v>3.9139937804063663E-2</c:v>
                </c:pt>
                <c:pt idx="53">
                  <c:v>1.8891498378921609E-2</c:v>
                </c:pt>
                <c:pt idx="54">
                  <c:v>5.1631280926062569E-2</c:v>
                </c:pt>
                <c:pt idx="55">
                  <c:v>5.846098200648752E-2</c:v>
                </c:pt>
                <c:pt idx="56">
                  <c:v>6.4706678745689292E-2</c:v>
                </c:pt>
                <c:pt idx="57">
                  <c:v>0.29833764875225366</c:v>
                </c:pt>
                <c:pt idx="58">
                  <c:v>7.2640575573145183E-2</c:v>
                </c:pt>
                <c:pt idx="59">
                  <c:v>7.8002377713393189E-2</c:v>
                </c:pt>
                <c:pt idx="60">
                  <c:v>0.64921296367568437</c:v>
                </c:pt>
                <c:pt idx="61">
                  <c:v>0.68746607971868312</c:v>
                </c:pt>
                <c:pt idx="62">
                  <c:v>8.2018638854615189E-2</c:v>
                </c:pt>
                <c:pt idx="63">
                  <c:v>9.8328608849424695E-2</c:v>
                </c:pt>
                <c:pt idx="64">
                  <c:v>0.10111433814650225</c:v>
                </c:pt>
                <c:pt idx="65">
                  <c:v>0.10331365817793733</c:v>
                </c:pt>
                <c:pt idx="66">
                  <c:v>0.57383044612889689</c:v>
                </c:pt>
                <c:pt idx="67">
                  <c:v>0.57194821794055994</c:v>
                </c:pt>
                <c:pt idx="68">
                  <c:v>0.43595358455488553</c:v>
                </c:pt>
                <c:pt idx="69">
                  <c:v>0.70699908539882406</c:v>
                </c:pt>
              </c:numCache>
            </c:numRef>
          </c:xVal>
          <c:yVal>
            <c:numRef>
              <c:f>plot!$N$33:$N$218</c:f>
              <c:numCache>
                <c:formatCode>General</c:formatCode>
                <c:ptCount val="186"/>
                <c:pt idx="0">
                  <c:v>0.22440884436114295</c:v>
                </c:pt>
                <c:pt idx="1">
                  <c:v>0.23328216500650995</c:v>
                </c:pt>
                <c:pt idx="2">
                  <c:v>0.21710805746602438</c:v>
                </c:pt>
                <c:pt idx="3">
                  <c:v>0.45602185076691204</c:v>
                </c:pt>
                <c:pt idx="4">
                  <c:v>-0.37816376560438003</c:v>
                </c:pt>
                <c:pt idx="5">
                  <c:v>0.18870870611727841</c:v>
                </c:pt>
                <c:pt idx="6">
                  <c:v>0.20754707447717399</c:v>
                </c:pt>
                <c:pt idx="7">
                  <c:v>0.18217704508736521</c:v>
                </c:pt>
                <c:pt idx="8">
                  <c:v>-0.42703438674298888</c:v>
                </c:pt>
                <c:pt idx="9">
                  <c:v>-0.43183890416020276</c:v>
                </c:pt>
                <c:pt idx="10">
                  <c:v>-0.37816376560438003</c:v>
                </c:pt>
                <c:pt idx="11">
                  <c:v>0.18870870611727841</c:v>
                </c:pt>
                <c:pt idx="12">
                  <c:v>0.20754707447717399</c:v>
                </c:pt>
                <c:pt idx="13">
                  <c:v>0.18217704508736521</c:v>
                </c:pt>
                <c:pt idx="14">
                  <c:v>-0.42703438674298888</c:v>
                </c:pt>
                <c:pt idx="15">
                  <c:v>-0.43183890416020276</c:v>
                </c:pt>
                <c:pt idx="16">
                  <c:v>-0.27735461022453861</c:v>
                </c:pt>
                <c:pt idx="17">
                  <c:v>-0.39909039580925132</c:v>
                </c:pt>
                <c:pt idx="18">
                  <c:v>-0.28532392437848275</c:v>
                </c:pt>
                <c:pt idx="19">
                  <c:v>-0.28987217775610202</c:v>
                </c:pt>
                <c:pt idx="20">
                  <c:v>-0.17193904304690971</c:v>
                </c:pt>
                <c:pt idx="21">
                  <c:v>0.4242762305458071</c:v>
                </c:pt>
                <c:pt idx="22">
                  <c:v>0.6014621726855901</c:v>
                </c:pt>
                <c:pt idx="23">
                  <c:v>0.20718724359172663</c:v>
                </c:pt>
                <c:pt idx="24">
                  <c:v>0.20377984972019544</c:v>
                </c:pt>
                <c:pt idx="25">
                  <c:v>-0.36670646700408038</c:v>
                </c:pt>
                <c:pt idx="26">
                  <c:v>0.31345986184662655</c:v>
                </c:pt>
                <c:pt idx="27">
                  <c:v>-9.1158111496771332E-2</c:v>
                </c:pt>
                <c:pt idx="28">
                  <c:v>0.19219637610189974</c:v>
                </c:pt>
                <c:pt idx="29">
                  <c:v>9.1930540271411815E-2</c:v>
                </c:pt>
                <c:pt idx="30">
                  <c:v>-0.42713296926984845</c:v>
                </c:pt>
                <c:pt idx="31">
                  <c:v>6.6015752743918257E-2</c:v>
                </c:pt>
                <c:pt idx="32">
                  <c:v>-0.3513406283397883</c:v>
                </c:pt>
                <c:pt idx="33">
                  <c:v>-0.12478855316018303</c:v>
                </c:pt>
                <c:pt idx="34">
                  <c:v>0.16402830845619559</c:v>
                </c:pt>
                <c:pt idx="35">
                  <c:v>-0.36831568199645776</c:v>
                </c:pt>
                <c:pt idx="36">
                  <c:v>0.15428987506236763</c:v>
                </c:pt>
                <c:pt idx="37">
                  <c:v>-0.45003821967409846</c:v>
                </c:pt>
                <c:pt idx="38">
                  <c:v>-0.28966627373623499</c:v>
                </c:pt>
                <c:pt idx="39">
                  <c:v>0.16945397984539282</c:v>
                </c:pt>
                <c:pt idx="40">
                  <c:v>-0.33258857808007425</c:v>
                </c:pt>
                <c:pt idx="41">
                  <c:v>0.15935164081707662</c:v>
                </c:pt>
                <c:pt idx="42">
                  <c:v>0.38867647054269105</c:v>
                </c:pt>
                <c:pt idx="43">
                  <c:v>0.50923013630886405</c:v>
                </c:pt>
                <c:pt idx="44">
                  <c:v>-0.36966491045972288</c:v>
                </c:pt>
                <c:pt idx="45">
                  <c:v>-0.31354663540816724</c:v>
                </c:pt>
                <c:pt idx="46">
                  <c:v>0.65618642206491318</c:v>
                </c:pt>
                <c:pt idx="47">
                  <c:v>0.19290346674346054</c:v>
                </c:pt>
                <c:pt idx="48">
                  <c:v>0.16499339796390294</c:v>
                </c:pt>
                <c:pt idx="49">
                  <c:v>0.15483010440439957</c:v>
                </c:pt>
                <c:pt idx="50">
                  <c:v>-0.47874467752129163</c:v>
                </c:pt>
                <c:pt idx="51">
                  <c:v>0.17168005184734794</c:v>
                </c:pt>
                <c:pt idx="52">
                  <c:v>0.17136674317041314</c:v>
                </c:pt>
                <c:pt idx="53">
                  <c:v>5.7127255624835699E-2</c:v>
                </c:pt>
                <c:pt idx="54">
                  <c:v>0.20694367332484043</c:v>
                </c:pt>
                <c:pt idx="55">
                  <c:v>9.4959968082611257E-2</c:v>
                </c:pt>
                <c:pt idx="56">
                  <c:v>9.2587380469353539E-2</c:v>
                </c:pt>
                <c:pt idx="57">
                  <c:v>-0.29452936898422472</c:v>
                </c:pt>
                <c:pt idx="58">
                  <c:v>0.12358076681696753</c:v>
                </c:pt>
                <c:pt idx="59">
                  <c:v>0.12632715122877633</c:v>
                </c:pt>
                <c:pt idx="60">
                  <c:v>-0.44053453739793541</c:v>
                </c:pt>
                <c:pt idx="61">
                  <c:v>-0.45881826852934215</c:v>
                </c:pt>
                <c:pt idx="62">
                  <c:v>0.12066743865972118</c:v>
                </c:pt>
                <c:pt idx="63">
                  <c:v>3.0818334552619189E-2</c:v>
                </c:pt>
                <c:pt idx="64">
                  <c:v>0.10977636441586795</c:v>
                </c:pt>
                <c:pt idx="65">
                  <c:v>0.13002766122389861</c:v>
                </c:pt>
                <c:pt idx="66">
                  <c:v>-0.40284000479668147</c:v>
                </c:pt>
                <c:pt idx="67">
                  <c:v>-0.40220787305859268</c:v>
                </c:pt>
                <c:pt idx="68">
                  <c:v>-0.35806632746352818</c:v>
                </c:pt>
                <c:pt idx="69">
                  <c:v>-0.47272806366685177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B22-4070-BF6A-5872E0FE5757}"/>
            </c:ext>
          </c:extLst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-1.2340714939826974E-2</c:v>
                </c:pt>
                <c:pt idx="1">
                  <c:v>0.70699908539882406</c:v>
                </c:pt>
                <c:pt idx="2">
                  <c:v>0.70699908539882428</c:v>
                </c:pt>
                <c:pt idx="3">
                  <c:v>-1.2340714939826853E-2</c:v>
                </c:pt>
                <c:pt idx="4">
                  <c:v>-1.2340714939826974E-2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-0.3141093042110833</c:v>
                </c:pt>
                <c:pt idx="1">
                  <c:v>-0.48216237398670025</c:v>
                </c:pt>
                <c:pt idx="2">
                  <c:v>0.48813335228929622</c:v>
                </c:pt>
                <c:pt idx="3">
                  <c:v>0.65618642206491318</c:v>
                </c:pt>
                <c:pt idx="4">
                  <c:v>-0.3141093042110833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B22-4070-BF6A-5872E0FE5757}"/>
            </c:ext>
          </c:extLst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-1.2340714939826974E-2</c:v>
                </c:pt>
                <c:pt idx="1">
                  <c:v>-0.70699908539882428</c:v>
                </c:pt>
                <c:pt idx="2">
                  <c:v>-0.70699908539882406</c:v>
                </c:pt>
                <c:pt idx="3">
                  <c:v>-1.2340714939826853E-2</c:v>
                </c:pt>
                <c:pt idx="4">
                  <c:v>-1.2340714939826974E-2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-0.3141093042110833</c:v>
                </c:pt>
                <c:pt idx="1">
                  <c:v>-0.48813335228929622</c:v>
                </c:pt>
                <c:pt idx="2">
                  <c:v>0.48216237398670025</c:v>
                </c:pt>
                <c:pt idx="3">
                  <c:v>0.65618642206491318</c:v>
                </c:pt>
                <c:pt idx="4">
                  <c:v>-0.3141093042110833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B22-4070-BF6A-5872E0FE5757}"/>
            </c:ext>
          </c:extLst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-1.2340714939826974E-2</c:v>
                </c:pt>
                <c:pt idx="1">
                  <c:v>-0.70699908539882428</c:v>
                </c:pt>
                <c:pt idx="2">
                  <c:v>1.2340714939826853E-2</c:v>
                </c:pt>
                <c:pt idx="3">
                  <c:v>0.70699908539882406</c:v>
                </c:pt>
                <c:pt idx="4">
                  <c:v>-1.2340714939826974E-2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-0.3141093042110833</c:v>
                </c:pt>
                <c:pt idx="1">
                  <c:v>-0.48813335228929622</c:v>
                </c:pt>
                <c:pt idx="2">
                  <c:v>-0.65618642206491318</c:v>
                </c:pt>
                <c:pt idx="3">
                  <c:v>-0.48216237398670025</c:v>
                </c:pt>
                <c:pt idx="4">
                  <c:v>-0.3141093042110833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B22-4070-BF6A-5872E0FE5757}"/>
            </c:ext>
          </c:extLst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plot!$O$33:$O$218</c:f>
              <c:numCache>
                <c:formatCode>General</c:formatCode>
                <c:ptCount val="186"/>
                <c:pt idx="0">
                  <c:v>-0.21790288474838473</c:v>
                </c:pt>
                <c:pt idx="1">
                  <c:v>-0.23207958526975633</c:v>
                </c:pt>
                <c:pt idx="2">
                  <c:v>-0.21790288474838473</c:v>
                </c:pt>
                <c:pt idx="3">
                  <c:v>-6.9047521108203183E-2</c:v>
                </c:pt>
                <c:pt idx="4">
                  <c:v>-0.5794087725407</c:v>
                </c:pt>
                <c:pt idx="5">
                  <c:v>-0.18954948370564162</c:v>
                </c:pt>
                <c:pt idx="6">
                  <c:v>-0.28169804117744685</c:v>
                </c:pt>
                <c:pt idx="7">
                  <c:v>-0.13993102779795108</c:v>
                </c:pt>
                <c:pt idx="8">
                  <c:v>-0.52270196637232369</c:v>
                </c:pt>
                <c:pt idx="9">
                  <c:v>-0.50143691559026626</c:v>
                </c:pt>
                <c:pt idx="10">
                  <c:v>-0.5794087725407</c:v>
                </c:pt>
                <c:pt idx="11">
                  <c:v>-0.18954948370564162</c:v>
                </c:pt>
                <c:pt idx="12">
                  <c:v>-0.28169804117744685</c:v>
                </c:pt>
                <c:pt idx="13">
                  <c:v>-0.13993102779795108</c:v>
                </c:pt>
                <c:pt idx="14">
                  <c:v>-0.52270196637232369</c:v>
                </c:pt>
                <c:pt idx="15">
                  <c:v>-0.50143691559026626</c:v>
                </c:pt>
                <c:pt idx="16">
                  <c:v>-0.62193887818770466</c:v>
                </c:pt>
                <c:pt idx="17">
                  <c:v>-0.65029227923044775</c:v>
                </c:pt>
                <c:pt idx="18">
                  <c:v>-0.45890680994326161</c:v>
                </c:pt>
                <c:pt idx="19">
                  <c:v>-0.67155733001250528</c:v>
                </c:pt>
                <c:pt idx="20">
                  <c:v>-0.10448927241163224</c:v>
                </c:pt>
                <c:pt idx="21">
                  <c:v>-4.0694115982570077E-2</c:v>
                </c:pt>
                <c:pt idx="22">
                  <c:v>-2.6517415461198401E-2</c:v>
                </c:pt>
                <c:pt idx="23">
                  <c:v>-0.28878639143813267</c:v>
                </c:pt>
                <c:pt idx="24">
                  <c:v>-0.28169804117744685</c:v>
                </c:pt>
                <c:pt idx="25">
                  <c:v>-0.6361155787090762</c:v>
                </c:pt>
                <c:pt idx="26">
                  <c:v>-3.3605765721884263E-2</c:v>
                </c:pt>
                <c:pt idx="27">
                  <c:v>-8.3224221629574796E-2</c:v>
                </c:pt>
                <c:pt idx="28">
                  <c:v>-0.26043299039538947</c:v>
                </c:pt>
                <c:pt idx="29">
                  <c:v>-0.18246113344495588</c:v>
                </c:pt>
                <c:pt idx="30">
                  <c:v>-0.70699908539882417</c:v>
                </c:pt>
                <c:pt idx="31">
                  <c:v>-8.3224221629574782E-2</c:v>
                </c:pt>
                <c:pt idx="32">
                  <c:v>-0.49434856532958055</c:v>
                </c:pt>
                <c:pt idx="33">
                  <c:v>-0.15410772831932271</c:v>
                </c:pt>
                <c:pt idx="34">
                  <c:v>-0.25334464013470376</c:v>
                </c:pt>
                <c:pt idx="35">
                  <c:v>-0.59358547306207154</c:v>
                </c:pt>
                <c:pt idx="36">
                  <c:v>-0.20372618422701319</c:v>
                </c:pt>
                <c:pt idx="37">
                  <c:v>-0.6432039289697622</c:v>
                </c:pt>
                <c:pt idx="38">
                  <c:v>-0.43055340890051846</c:v>
                </c:pt>
                <c:pt idx="39">
                  <c:v>-0.32422814682445167</c:v>
                </c:pt>
                <c:pt idx="40">
                  <c:v>-0.68573403461676674</c:v>
                </c:pt>
                <c:pt idx="41">
                  <c:v>-0.29587474169881844</c:v>
                </c:pt>
                <c:pt idx="42">
                  <c:v>-0.11157762675520791</c:v>
                </c:pt>
                <c:pt idx="43">
                  <c:v>-1.234071493982687E-2</c:v>
                </c:pt>
                <c:pt idx="44">
                  <c:v>-0.48726021098600475</c:v>
                </c:pt>
                <c:pt idx="45">
                  <c:v>-0.60776217358344309</c:v>
                </c:pt>
                <c:pt idx="46">
                  <c:v>-2.6517415461198394E-2</c:v>
                </c:pt>
                <c:pt idx="47">
                  <c:v>-0.62193887818770466</c:v>
                </c:pt>
                <c:pt idx="48">
                  <c:v>-0.33131649708513733</c:v>
                </c:pt>
                <c:pt idx="49">
                  <c:v>-0.35258154786719476</c:v>
                </c:pt>
                <c:pt idx="50">
                  <c:v>-0.43764175916120412</c:v>
                </c:pt>
                <c:pt idx="51">
                  <c:v>-0.56523207201932824</c:v>
                </c:pt>
                <c:pt idx="52">
                  <c:v>-0.57232042228001423</c:v>
                </c:pt>
                <c:pt idx="53">
                  <c:v>-6.9047521108203239E-2</c:v>
                </c:pt>
                <c:pt idx="54">
                  <c:v>-0.65738062949113363</c:v>
                </c:pt>
                <c:pt idx="55">
                  <c:v>-0.19663783396632742</c:v>
                </c:pt>
                <c:pt idx="56">
                  <c:v>-0.19663783396632742</c:v>
                </c:pt>
                <c:pt idx="57">
                  <c:v>-0.67864568027319083</c:v>
                </c:pt>
                <c:pt idx="58">
                  <c:v>-0.31713979656376584</c:v>
                </c:pt>
                <c:pt idx="59">
                  <c:v>-0.4092883540355709</c:v>
                </c:pt>
                <c:pt idx="60">
                  <c:v>-0.43055340890051846</c:v>
                </c:pt>
                <c:pt idx="61">
                  <c:v>-0.62902722844839043</c:v>
                </c:pt>
                <c:pt idx="62">
                  <c:v>-0.31713979656376584</c:v>
                </c:pt>
                <c:pt idx="63">
                  <c:v>-0.18954948370564165</c:v>
                </c:pt>
                <c:pt idx="64">
                  <c:v>-0.26752134065607525</c:v>
                </c:pt>
                <c:pt idx="65">
                  <c:v>-0.66446897975181929</c:v>
                </c:pt>
                <c:pt idx="66">
                  <c:v>-0.55814372175864257</c:v>
                </c:pt>
                <c:pt idx="67">
                  <c:v>-0.55814372175864257</c:v>
                </c:pt>
                <c:pt idx="68">
                  <c:v>-0.59358547306207154</c:v>
                </c:pt>
                <c:pt idx="69">
                  <c:v>-0.50852526585095215</c:v>
                </c:pt>
              </c:numCache>
            </c:numRef>
          </c:xVal>
          <c:yVal>
            <c:numRef>
              <c:f>plot!$P$33:$P$218</c:f>
              <c:numCache>
                <c:formatCode>General</c:formatCode>
                <c:ptCount val="186"/>
                <c:pt idx="0">
                  <c:v>0.17603457901977473</c:v>
                </c:pt>
                <c:pt idx="1">
                  <c:v>0.18168670633431488</c:v>
                </c:pt>
                <c:pt idx="2">
                  <c:v>0.16922547703326957</c:v>
                </c:pt>
                <c:pt idx="3">
                  <c:v>0.44245310473175981</c:v>
                </c:pt>
                <c:pt idx="4">
                  <c:v>-0.40147778336844919</c:v>
                </c:pt>
                <c:pt idx="5">
                  <c:v>0.14892836927395914</c:v>
                </c:pt>
                <c:pt idx="6">
                  <c:v>0.14497079659896928</c:v>
                </c:pt>
                <c:pt idx="7">
                  <c:v>0.15407217792194916</c:v>
                </c:pt>
                <c:pt idx="8">
                  <c:v>-0.40492354784317258</c:v>
                </c:pt>
                <c:pt idx="9">
                  <c:v>-0.40255713321354175</c:v>
                </c:pt>
                <c:pt idx="10">
                  <c:v>-0.40147778336844919</c:v>
                </c:pt>
                <c:pt idx="11">
                  <c:v>0.14892836927395914</c:v>
                </c:pt>
                <c:pt idx="12">
                  <c:v>0.14497079659896928</c:v>
                </c:pt>
                <c:pt idx="13">
                  <c:v>0.15407217792194916</c:v>
                </c:pt>
                <c:pt idx="14">
                  <c:v>-0.40492354784317258</c:v>
                </c:pt>
                <c:pt idx="15">
                  <c:v>-0.40255713321354175</c:v>
                </c:pt>
                <c:pt idx="16">
                  <c:v>-0.360671535176185</c:v>
                </c:pt>
                <c:pt idx="17">
                  <c:v>-0.41974139939716115</c:v>
                </c:pt>
                <c:pt idx="18">
                  <c:v>-0.33132754929439456</c:v>
                </c:pt>
                <c:pt idx="19">
                  <c:v>-0.38399542177240148</c:v>
                </c:pt>
                <c:pt idx="20">
                  <c:v>-0.15883409416680988</c:v>
                </c:pt>
                <c:pt idx="21">
                  <c:v>0.41779488726523145</c:v>
                </c:pt>
                <c:pt idx="22">
                  <c:v>0.59803838266004727</c:v>
                </c:pt>
                <c:pt idx="23">
                  <c:v>0.14287598349434646</c:v>
                </c:pt>
                <c:pt idx="24">
                  <c:v>0.14133000571681797</c:v>
                </c:pt>
                <c:pt idx="25">
                  <c:v>-0.40745186150225776</c:v>
                </c:pt>
                <c:pt idx="26">
                  <c:v>0.30961217826625842</c:v>
                </c:pt>
                <c:pt idx="27">
                  <c:v>-8.3725593958891092E-2</c:v>
                </c:pt>
                <c:pt idx="28">
                  <c:v>0.13582090063370114</c:v>
                </c:pt>
                <c:pt idx="29">
                  <c:v>5.5896271100726452E-2</c:v>
                </c:pt>
                <c:pt idx="30">
                  <c:v>-0.43533072094945202</c:v>
                </c:pt>
                <c:pt idx="31">
                  <c:v>5.9575909893635023E-2</c:v>
                </c:pt>
                <c:pt idx="32">
                  <c:v>-0.37202021794175383</c:v>
                </c:pt>
                <c:pt idx="33">
                  <c:v>-0.12473141169149929</c:v>
                </c:pt>
                <c:pt idx="34">
                  <c:v>0.1108376083185264</c:v>
                </c:pt>
                <c:pt idx="35">
                  <c:v>-0.4014645022799519</c:v>
                </c:pt>
                <c:pt idx="36">
                  <c:v>0.11410728475436174</c:v>
                </c:pt>
                <c:pt idx="37">
                  <c:v>-0.44621655676785738</c:v>
                </c:pt>
                <c:pt idx="38">
                  <c:v>-0.32654074850855669</c:v>
                </c:pt>
                <c:pt idx="39">
                  <c:v>9.9108814711518611E-2</c:v>
                </c:pt>
                <c:pt idx="40">
                  <c:v>-0.40727725647904578</c:v>
                </c:pt>
                <c:pt idx="41">
                  <c:v>9.662954295329404E-2</c:v>
                </c:pt>
                <c:pt idx="42">
                  <c:v>0.36463373223596995</c:v>
                </c:pt>
                <c:pt idx="43">
                  <c:v>0.5094054460274402</c:v>
                </c:pt>
                <c:pt idx="44">
                  <c:v>-0.37721822654436843</c:v>
                </c:pt>
                <c:pt idx="45">
                  <c:v>-0.37965628917000255</c:v>
                </c:pt>
                <c:pt idx="46">
                  <c:v>0.65263491110925953</c:v>
                </c:pt>
                <c:pt idx="47">
                  <c:v>4.8614493489974139E-2</c:v>
                </c:pt>
                <c:pt idx="48">
                  <c:v>9.4075786568826716E-2</c:v>
                </c:pt>
                <c:pt idx="49">
                  <c:v>7.9280437371229459E-2</c:v>
                </c:pt>
                <c:pt idx="50">
                  <c:v>-0.42065464004053726</c:v>
                </c:pt>
                <c:pt idx="51">
                  <c:v>4.4737868680967491E-2</c:v>
                </c:pt>
                <c:pt idx="52">
                  <c:v>4.3109026122723382E-2</c:v>
                </c:pt>
                <c:pt idx="53">
                  <c:v>5.0217719775039721E-2</c:v>
                </c:pt>
                <c:pt idx="54">
                  <c:v>6.0295132826664752E-2</c:v>
                </c:pt>
                <c:pt idx="55">
                  <c:v>6.5331104167757309E-2</c:v>
                </c:pt>
                <c:pt idx="56">
                  <c:v>6.441764408979829E-2</c:v>
                </c:pt>
                <c:pt idx="57">
                  <c:v>-0.38886932367071725</c:v>
                </c:pt>
                <c:pt idx="58">
                  <c:v>6.707671223398054E-2</c:v>
                </c:pt>
                <c:pt idx="59">
                  <c:v>4.7990905377508532E-2</c:v>
                </c:pt>
                <c:pt idx="60">
                  <c:v>-0.3907511144813588</c:v>
                </c:pt>
                <c:pt idx="61">
                  <c:v>-0.44981926093128821</c:v>
                </c:pt>
                <c:pt idx="62">
                  <c:v>6.635429902716386E-2</c:v>
                </c:pt>
                <c:pt idx="63">
                  <c:v>1.2279151290412335E-2</c:v>
                </c:pt>
                <c:pt idx="64">
                  <c:v>7.2354675460237994E-2</c:v>
                </c:pt>
                <c:pt idx="65">
                  <c:v>-6.322532712441686E-3</c:v>
                </c:pt>
                <c:pt idx="66">
                  <c:v>-0.40263114117956122</c:v>
                </c:pt>
                <c:pt idx="67">
                  <c:v>-0.40243873796048291</c:v>
                </c:pt>
                <c:pt idx="68">
                  <c:v>-0.39894720721800542</c:v>
                </c:pt>
                <c:pt idx="69">
                  <c:v>-0.42897788552179195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B22-4070-BF6A-5872E0FE5757}"/>
            </c:ext>
          </c:extLst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plot!$Q$33:$Q$218</c:f>
              <c:numCache>
                <c:formatCode>General</c:formatCode>
                <c:ptCount val="186"/>
                <c:pt idx="0">
                  <c:v>-0.20453660721864872</c:v>
                </c:pt>
                <c:pt idx="1">
                  <c:v>-0.21729940548516433</c:v>
                </c:pt>
                <c:pt idx="2">
                  <c:v>-0.20243198321824377</c:v>
                </c:pt>
                <c:pt idx="3">
                  <c:v>-6.6319606648994722E-2</c:v>
                </c:pt>
                <c:pt idx="4">
                  <c:v>-7.1122710750436802E-2</c:v>
                </c:pt>
                <c:pt idx="5">
                  <c:v>-0.16980148135610695</c:v>
                </c:pt>
                <c:pt idx="6">
                  <c:v>-0.26071350238862046</c:v>
                </c:pt>
                <c:pt idx="7">
                  <c:v>-0.12341398008446958</c:v>
                </c:pt>
                <c:pt idx="8">
                  <c:v>0.11921410818871422</c:v>
                </c:pt>
                <c:pt idx="9">
                  <c:v>0.14837084494818056</c:v>
                </c:pt>
                <c:pt idx="10">
                  <c:v>-7.1122710750436802E-2</c:v>
                </c:pt>
                <c:pt idx="11">
                  <c:v>-0.16980148135610695</c:v>
                </c:pt>
                <c:pt idx="12">
                  <c:v>-0.26071350238862046</c:v>
                </c:pt>
                <c:pt idx="13">
                  <c:v>-0.12341398008446958</c:v>
                </c:pt>
                <c:pt idx="14">
                  <c:v>0.11921410818871422</c:v>
                </c:pt>
                <c:pt idx="15">
                  <c:v>0.14837084494818056</c:v>
                </c:pt>
                <c:pt idx="16">
                  <c:v>-0.32488519104230934</c:v>
                </c:pt>
                <c:pt idx="17">
                  <c:v>-5.4597348623575133E-2</c:v>
                </c:pt>
                <c:pt idx="18">
                  <c:v>-0.17695910689575045</c:v>
                </c:pt>
                <c:pt idx="19">
                  <c:v>-0.36755235218680382</c:v>
                </c:pt>
                <c:pt idx="20">
                  <c:v>5.0418595458300235E-2</c:v>
                </c:pt>
                <c:pt idx="21">
                  <c:v>-3.8033062645654987E-2</c:v>
                </c:pt>
                <c:pt idx="22">
                  <c:v>-2.5970714657174938E-2</c:v>
                </c:pt>
                <c:pt idx="23">
                  <c:v>-0.26762732547300067</c:v>
                </c:pt>
                <c:pt idx="24">
                  <c:v>-0.26017231073769892</c:v>
                </c:pt>
                <c:pt idx="25">
                  <c:v>-0.14163533195040631</c:v>
                </c:pt>
                <c:pt idx="26">
                  <c:v>-2.7272511378103055E-2</c:v>
                </c:pt>
                <c:pt idx="27">
                  <c:v>2.4600183782205125E-2</c:v>
                </c:pt>
                <c:pt idx="28">
                  <c:v>-0.23570933993319901</c:v>
                </c:pt>
                <c:pt idx="29">
                  <c:v>-0.15427934299080773</c:v>
                </c:pt>
                <c:pt idx="30">
                  <c:v>2.8091620883685608E-3</c:v>
                </c:pt>
                <c:pt idx="31">
                  <c:v>-3.4779516720565402E-2</c:v>
                </c:pt>
                <c:pt idx="32">
                  <c:v>-6.5998031143843658E-2</c:v>
                </c:pt>
                <c:pt idx="33">
                  <c:v>-1.8431046752823478E-3</c:v>
                </c:pt>
                <c:pt idx="34">
                  <c:v>-0.22258977548005843</c:v>
                </c:pt>
                <c:pt idx="35">
                  <c:v>-0.11219461589370358</c:v>
                </c:pt>
                <c:pt idx="36">
                  <c:v>-0.17049799816056169</c:v>
                </c:pt>
                <c:pt idx="37">
                  <c:v>4.9643594330514566E-2</c:v>
                </c:pt>
                <c:pt idx="38">
                  <c:v>-0.13993300097462019</c:v>
                </c:pt>
                <c:pt idx="39">
                  <c:v>-0.29089179276434224</c:v>
                </c:pt>
                <c:pt idx="40">
                  <c:v>-0.28333870610945827</c:v>
                </c:pt>
                <c:pt idx="41">
                  <c:v>-0.26031237302744109</c:v>
                </c:pt>
                <c:pt idx="42">
                  <c:v>-0.10807691610857062</c:v>
                </c:pt>
                <c:pt idx="43">
                  <c:v>-1.1590313545039093E-2</c:v>
                </c:pt>
                <c:pt idx="44">
                  <c:v>-1.0324556305861632E-2</c:v>
                </c:pt>
                <c:pt idx="45">
                  <c:v>-0.25225593262477286</c:v>
                </c:pt>
                <c:pt idx="46">
                  <c:v>-2.6517415461198519E-2</c:v>
                </c:pt>
                <c:pt idx="47">
                  <c:v>-0.58587192047394165</c:v>
                </c:pt>
                <c:pt idx="48">
                  <c:v>-0.2928294592988202</c:v>
                </c:pt>
                <c:pt idx="49">
                  <c:v>-0.31111870728587776</c:v>
                </c:pt>
                <c:pt idx="50">
                  <c:v>0.26706882258401271</c:v>
                </c:pt>
                <c:pt idx="51">
                  <c:v>-0.51572136669616897</c:v>
                </c:pt>
                <c:pt idx="52">
                  <c:v>-0.52083976953612365</c:v>
                </c:pt>
                <c:pt idx="53">
                  <c:v>-3.7815307789454751E-2</c:v>
                </c:pt>
                <c:pt idx="54">
                  <c:v>-0.59340863362524432</c:v>
                </c:pt>
                <c:pt idx="55">
                  <c:v>-0.12583613702001303</c:v>
                </c:pt>
                <c:pt idx="56">
                  <c:v>-0.11959044028081126</c:v>
                </c:pt>
                <c:pt idx="57">
                  <c:v>-0.36796731658111032</c:v>
                </c:pt>
                <c:pt idx="58">
                  <c:v>-0.23215850605079383</c:v>
                </c:pt>
                <c:pt idx="59">
                  <c:v>-0.31894526138235085</c:v>
                </c:pt>
                <c:pt idx="60">
                  <c:v>0.23100026971499299</c:v>
                </c:pt>
                <c:pt idx="61">
                  <c:v>7.0779566210119771E-2</c:v>
                </c:pt>
                <c:pt idx="62">
                  <c:v>-0.22278044276932382</c:v>
                </c:pt>
                <c:pt idx="63">
                  <c:v>-7.8880159916390052E-2</c:v>
                </c:pt>
                <c:pt idx="64">
                  <c:v>-0.15406628756974616</c:v>
                </c:pt>
                <c:pt idx="65">
                  <c:v>-0.54881460663405512</c:v>
                </c:pt>
                <c:pt idx="66">
                  <c:v>2.8027439310081136E-2</c:v>
                </c:pt>
                <c:pt idx="67">
                  <c:v>2.6145211121744248E-2</c:v>
                </c:pt>
                <c:pt idx="68">
                  <c:v>-0.1452911735673591</c:v>
                </c:pt>
                <c:pt idx="69">
                  <c:v>0.21081453448769893</c:v>
                </c:pt>
              </c:numCache>
            </c:numRef>
          </c:xVal>
          <c:yVal>
            <c:numRef>
              <c:f>plot!$R$33:$R$218</c:f>
              <c:numCache>
                <c:formatCode>General</c:formatCode>
                <c:ptCount val="186"/>
                <c:pt idx="0">
                  <c:v>-0.36872886272068023</c:v>
                </c:pt>
                <c:pt idx="1">
                  <c:v>-0.37261069130116059</c:v>
                </c:pt>
                <c:pt idx="2">
                  <c:v>-0.36922054762929363</c:v>
                </c:pt>
                <c:pt idx="3">
                  <c:v>-0.32895264786683009</c:v>
                </c:pt>
                <c:pt idx="4">
                  <c:v>-0.57491618131033462</c:v>
                </c:pt>
                <c:pt idx="5">
                  <c:v>-0.36311674739611488</c:v>
                </c:pt>
                <c:pt idx="6">
                  <c:v>-0.3864904508303964</c:v>
                </c:pt>
                <c:pt idx="7">
                  <c:v>-0.34993163833877261</c:v>
                </c:pt>
                <c:pt idx="8">
                  <c:v>-0.59192894828332099</c:v>
                </c:pt>
                <c:pt idx="9">
                  <c:v>-0.58844534746320498</c:v>
                </c:pt>
                <c:pt idx="10">
                  <c:v>-0.57491618131033462</c:v>
                </c:pt>
                <c:pt idx="11">
                  <c:v>-0.36311674739611488</c:v>
                </c:pt>
                <c:pt idx="12">
                  <c:v>-0.3864904508303964</c:v>
                </c:pt>
                <c:pt idx="13">
                  <c:v>-0.34993163833877261</c:v>
                </c:pt>
                <c:pt idx="14">
                  <c:v>-0.59192894828332099</c:v>
                </c:pt>
                <c:pt idx="15">
                  <c:v>-0.58844534746320498</c:v>
                </c:pt>
                <c:pt idx="16">
                  <c:v>-0.5362223419023493</c:v>
                </c:pt>
                <c:pt idx="17">
                  <c:v>-0.61309430708870016</c:v>
                </c:pt>
                <c:pt idx="18">
                  <c:v>-0.4918508838210402</c:v>
                </c:pt>
                <c:pt idx="19">
                  <c:v>-0.55027659952727137</c:v>
                </c:pt>
                <c:pt idx="20">
                  <c:v>-0.37338389756035018</c:v>
                </c:pt>
                <c:pt idx="21">
                  <c:v>-0.32183400475312202</c:v>
                </c:pt>
                <c:pt idx="22">
                  <c:v>-0.31778853609684765</c:v>
                </c:pt>
                <c:pt idx="23">
                  <c:v>-0.3883069795668746</c:v>
                </c:pt>
                <c:pt idx="24">
                  <c:v>-0.38661688470522371</c:v>
                </c:pt>
                <c:pt idx="25">
                  <c:v>-0.58589689426712555</c:v>
                </c:pt>
                <c:pt idx="26">
                  <c:v>-0.32091615349767588</c:v>
                </c:pt>
                <c:pt idx="27">
                  <c:v>-0.35705693335116978</c:v>
                </c:pt>
                <c:pt idx="28">
                  <c:v>-0.38203672037344183</c:v>
                </c:pt>
                <c:pt idx="29">
                  <c:v>-0.3633113041130952</c:v>
                </c:pt>
                <c:pt idx="30">
                  <c:v>-0.65395964868790557</c:v>
                </c:pt>
                <c:pt idx="31">
                  <c:v>-0.34318457296300631</c:v>
                </c:pt>
                <c:pt idx="32">
                  <c:v>-0.5349324759589249</c:v>
                </c:pt>
                <c:pt idx="33">
                  <c:v>-0.38519666888417953</c:v>
                </c:pt>
                <c:pt idx="34">
                  <c:v>-0.38166998474831765</c:v>
                </c:pt>
                <c:pt idx="35">
                  <c:v>-0.57218440070221677</c:v>
                </c:pt>
                <c:pt idx="36">
                  <c:v>-0.36981751584273537</c:v>
                </c:pt>
                <c:pt idx="37">
                  <c:v>-0.63401546262719755</c:v>
                </c:pt>
                <c:pt idx="38">
                  <c:v>-0.486773990142016</c:v>
                </c:pt>
                <c:pt idx="39">
                  <c:v>-0.40003063135431888</c:v>
                </c:pt>
                <c:pt idx="40">
                  <c:v>-0.57681418910157689</c:v>
                </c:pt>
                <c:pt idx="41">
                  <c:v>-0.3934476527561257</c:v>
                </c:pt>
                <c:pt idx="42">
                  <c:v>-0.33978772337485319</c:v>
                </c:pt>
                <c:pt idx="43">
                  <c:v>-0.31428461392965945</c:v>
                </c:pt>
                <c:pt idx="44">
                  <c:v>-0.54450723647492083</c:v>
                </c:pt>
                <c:pt idx="45">
                  <c:v>-0.54632658913518284</c:v>
                </c:pt>
                <c:pt idx="46">
                  <c:v>-0.31766081516673689</c:v>
                </c:pt>
                <c:pt idx="47">
                  <c:v>-0.4752502936005093</c:v>
                </c:pt>
                <c:pt idx="48">
                  <c:v>-0.40300969604877046</c:v>
                </c:pt>
                <c:pt idx="49">
                  <c:v>-0.4090321732776373</c:v>
                </c:pt>
                <c:pt idx="50">
                  <c:v>-0.5852900133507456</c:v>
                </c:pt>
                <c:pt idx="51">
                  <c:v>-0.46418499399671609</c:v>
                </c:pt>
                <c:pt idx="52">
                  <c:v>-0.4664209710710604</c:v>
                </c:pt>
                <c:pt idx="53">
                  <c:v>-0.33561185805218641</c:v>
                </c:pt>
                <c:pt idx="54">
                  <c:v>-0.49064828113408793</c:v>
                </c:pt>
                <c:pt idx="55">
                  <c:v>-0.37681973128023377</c:v>
                </c:pt>
                <c:pt idx="56">
                  <c:v>-0.37827885881553253</c:v>
                </c:pt>
                <c:pt idx="57">
                  <c:v>-0.55361139981273177</c:v>
                </c:pt>
                <c:pt idx="58">
                  <c:v>-0.4103202309495525</c:v>
                </c:pt>
                <c:pt idx="59">
                  <c:v>-0.43465768415043859</c:v>
                </c:pt>
                <c:pt idx="60">
                  <c:v>-0.57343188783091437</c:v>
                </c:pt>
                <c:pt idx="61">
                  <c:v>-0.63208978540770322</c:v>
                </c:pt>
                <c:pt idx="62">
                  <c:v>-0.41251114589998217</c:v>
                </c:pt>
                <c:pt idx="63">
                  <c:v>-0.38435790097722733</c:v>
                </c:pt>
                <c:pt idx="64">
                  <c:v>-0.40454201784166405</c:v>
                </c:pt>
                <c:pt idx="65">
                  <c:v>-0.50449813865157689</c:v>
                </c:pt>
                <c:pt idx="66">
                  <c:v>-0.58778452982456331</c:v>
                </c:pt>
                <c:pt idx="67">
                  <c:v>-0.58734480130555278</c:v>
                </c:pt>
                <c:pt idx="68">
                  <c:v>-0.56445234123123367</c:v>
                </c:pt>
                <c:pt idx="69">
                  <c:v>-0.60646526561725733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B22-4070-BF6A-5872E0FE5757}"/>
            </c:ext>
          </c:extLst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{98346A8A-D5BD-4150-9475-A8177206E637}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CB22-4070-BF6A-5872E0FE5757}"/>
                </c:ext>
              </c:extLst>
            </c:dLbl>
            <c:dLbl>
              <c:idx val="1"/>
              <c:tx>
                <c:strRef>
                  <c:f>plot!$AC$10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{A12999CF-8556-42AF-87A2-30D3C7A1D9C7}</c15:txfldGUID>
                      <c15:f>plot!$AC$10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CB22-4070-BF6A-5872E0FE5757}"/>
                </c:ext>
              </c:extLst>
            </c:dLbl>
            <c:dLbl>
              <c:idx val="2"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{9AEF1250-3BEF-49A8-AAAA-743BC0C45290}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CB22-4070-BF6A-5872E0FE5757}"/>
                </c:ext>
              </c:extLst>
            </c:dLbl>
            <c:dLbl>
              <c:idx val="3"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{1B747833-5D7B-4754-94B6-4FA718CA6001}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CB22-4070-BF6A-5872E0FE5757}"/>
                </c:ext>
              </c:extLst>
            </c:dLbl>
            <c:dLbl>
              <c:idx val="4"/>
              <c:tx>
                <c:strRef>
                  <c:f>plot!$AC$13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{33731665-A6B7-4B29-B09F-ABCE24A60849}</c15:txfldGUID>
                      <c15:f>plot!$AC$13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CB22-4070-BF6A-5872E0FE5757}"/>
                </c:ext>
              </c:extLst>
            </c:dLbl>
            <c:dLbl>
              <c:idx val="5"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{452C68A5-44B3-4C68-8F11-8225A9D5D023}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CB22-4070-BF6A-5872E0FE5757}"/>
                </c:ext>
              </c:extLst>
            </c:dLbl>
            <c:dLbl>
              <c:idx val="6"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{9C7B76C8-2480-4DF7-B088-CB6B66FE53D0}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CB22-4070-BF6A-5872E0FE5757}"/>
                </c:ext>
              </c:extLst>
            </c:dLbl>
            <c:dLbl>
              <c:idx val="7"/>
              <c:tx>
                <c:strRef>
                  <c:f>plot!$AC$16</c:f>
                  <c:strCache>
                    <c:ptCount val="1"/>
                    <c:pt idx="0">
                      <c:v>600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{E3C53FB7-A1BA-4AC9-8A7A-29EA5A859C00}</c15:txfldGUID>
                      <c15:f>plot!$AC$16</c15:f>
                      <c15:dlblFieldTableCache>
                        <c:ptCount val="1"/>
                        <c:pt idx="0">
                          <c:v>600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CB22-4070-BF6A-5872E0FE5757}"/>
                </c:ext>
              </c:extLst>
            </c:dLbl>
            <c:dLbl>
              <c:idx val="8"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{E51969C5-4830-4501-A624-0FFA083E7053}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CB22-4070-BF6A-5872E0FE5757}"/>
                </c:ext>
              </c:extLst>
            </c:dLbl>
            <c:dLbl>
              <c:idx val="9"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{DA81246B-45F3-4A88-A5EB-8C1622BDB480}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CB22-4070-BF6A-5872E0FE5757}"/>
                </c:ext>
              </c:extLst>
            </c:dLbl>
            <c:dLbl>
              <c:idx val="10"/>
              <c:tx>
                <c:strRef>
                  <c:f>plot!$AC$19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{F0D3125E-32FB-430C-90DE-2C10E989AC38}</c15:txfldGUID>
                      <c15:f>plot!$AC$19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CB22-4070-BF6A-5872E0FE5757}"/>
                </c:ext>
              </c:extLst>
            </c:dLbl>
            <c:dLbl>
              <c:idx val="11"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{2B978B62-D95D-4356-B39D-8F42307CB234}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CB22-4070-BF6A-5872E0FE5757}"/>
                </c:ext>
              </c:extLst>
            </c:dLbl>
            <c:dLbl>
              <c:idx val="12"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{B0D0FE10-F8D0-40BC-9C31-F62CA5A920B9}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CB22-4070-BF6A-5872E0FE5757}"/>
                </c:ext>
              </c:extLst>
            </c:dLbl>
            <c:dLbl>
              <c:idx val="13"/>
              <c:tx>
                <c:strRef>
                  <c:f>plot!$AC$22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{39233660-0A94-49A4-946A-7920131331A7}</c15:txfldGUID>
                      <c15:f>plot!$AC$22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CB22-4070-BF6A-5872E0FE5757}"/>
                </c:ext>
              </c:extLst>
            </c:dLbl>
            <c:dLbl>
              <c:idx val="14"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{273C4B7D-AD44-4D8F-9EA0-17ED1330DAD1}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CB22-4070-BF6A-5872E0FE5757}"/>
                </c:ext>
              </c:extLst>
            </c:dLbl>
            <c:dLbl>
              <c:idx val="15"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{208F9281-C514-4D03-814D-BE0F7643E387}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CB22-4070-BF6A-5872E0FE5757}"/>
                </c:ext>
              </c:extLst>
            </c:dLbl>
            <c:dLbl>
              <c:idx val="16"/>
              <c:tx>
                <c:strRef>
                  <c:f>plot!$AC$25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{E7D26B59-5086-4393-A3D6-7AB174E35AF5}</c15:txfldGUID>
                      <c15:f>plot!$AC$25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CB22-4070-BF6A-5872E0FE5757}"/>
                </c:ext>
              </c:extLst>
            </c:dLbl>
            <c:dLbl>
              <c:idx val="17"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{69BAAE73-DB96-489E-B74B-6AE08E644971}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CB22-4070-BF6A-5872E0FE5757}"/>
                </c:ext>
              </c:extLst>
            </c:dLbl>
            <c:dLbl>
              <c:idx val="18"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{F6319180-4AC6-44D8-898C-AA6F03365875}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CB22-4070-BF6A-5872E0FE5757}"/>
                </c:ext>
              </c:extLst>
            </c:dLbl>
            <c:dLbl>
              <c:idx val="19"/>
              <c:tx>
                <c:strRef>
                  <c:f>plot!$AC$28</c:f>
                  <c:strCache>
                    <c:ptCount val="1"/>
                    <c:pt idx="0">
                      <c:v>800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{58297640-6AE4-4C1B-8703-858A513047A9}</c15:txfldGUID>
                      <c15:f>plot!$AC$28</c15:f>
                      <c15:dlblFieldTableCache>
                        <c:ptCount val="1"/>
                        <c:pt idx="0">
                          <c:v>800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CB22-4070-BF6A-5872E0FE5757}"/>
                </c:ext>
              </c:extLst>
            </c:dLbl>
            <c:dLbl>
              <c:idx val="20"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{37A07D2C-F040-4132-AC56-1633EA8FD0A2}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CB22-4070-BF6A-5872E0FE57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-0.62053218592306114</c:v>
                </c:pt>
                <c:pt idx="1">
                  <c:v>-0.68999802296896096</c:v>
                </c:pt>
                <c:pt idx="2">
                  <c:v>-0.62053218592306114</c:v>
                </c:pt>
                <c:pt idx="3">
                  <c:v>-0.45809217111908623</c:v>
                </c:pt>
                <c:pt idx="4">
                  <c:v>-0.52755800816498599</c:v>
                </c:pt>
                <c:pt idx="5">
                  <c:v>-0.45809217111908623</c:v>
                </c:pt>
                <c:pt idx="6">
                  <c:v>-0.29565215631511133</c:v>
                </c:pt>
                <c:pt idx="7">
                  <c:v>-0.36511799336101103</c:v>
                </c:pt>
                <c:pt idx="8">
                  <c:v>-0.29565215631511133</c:v>
                </c:pt>
                <c:pt idx="9">
                  <c:v>-0.13321214151113636</c:v>
                </c:pt>
                <c:pt idx="10">
                  <c:v>-0.20267797855703606</c:v>
                </c:pt>
                <c:pt idx="11">
                  <c:v>-0.13321214151113636</c:v>
                </c:pt>
                <c:pt idx="12">
                  <c:v>-0.13321214151113636</c:v>
                </c:pt>
                <c:pt idx="13">
                  <c:v>-0.20267797855703606</c:v>
                </c:pt>
                <c:pt idx="14">
                  <c:v>-0.13321214151113636</c:v>
                </c:pt>
                <c:pt idx="15">
                  <c:v>-0.13321214151113636</c:v>
                </c:pt>
                <c:pt idx="16">
                  <c:v>-0.20267797855703606</c:v>
                </c:pt>
                <c:pt idx="17">
                  <c:v>-0.13321214151113636</c:v>
                </c:pt>
                <c:pt idx="18">
                  <c:v>-0.13321214151113636</c:v>
                </c:pt>
                <c:pt idx="19">
                  <c:v>-0.20267797855703606</c:v>
                </c:pt>
                <c:pt idx="20">
                  <c:v>-0.13321214151113636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-0.50833385820324783</c:v>
                </c:pt>
                <c:pt idx="1">
                  <c:v>-0.52573626301106913</c:v>
                </c:pt>
                <c:pt idx="2">
                  <c:v>-0.50833385820324783</c:v>
                </c:pt>
                <c:pt idx="3">
                  <c:v>-0.54628329896733874</c:v>
                </c:pt>
                <c:pt idx="4">
                  <c:v>-0.56368570377516003</c:v>
                </c:pt>
                <c:pt idx="5">
                  <c:v>-0.54628329896733874</c:v>
                </c:pt>
                <c:pt idx="6">
                  <c:v>-0.58423273973142975</c:v>
                </c:pt>
                <c:pt idx="7">
                  <c:v>-0.60163514453925093</c:v>
                </c:pt>
                <c:pt idx="8">
                  <c:v>-0.58423273973142975</c:v>
                </c:pt>
                <c:pt idx="9">
                  <c:v>-0.62218218049552065</c:v>
                </c:pt>
                <c:pt idx="10">
                  <c:v>-0.63958458530334195</c:v>
                </c:pt>
                <c:pt idx="11">
                  <c:v>-0.62218218049552065</c:v>
                </c:pt>
                <c:pt idx="12">
                  <c:v>-0.62218218049552065</c:v>
                </c:pt>
                <c:pt idx="13">
                  <c:v>-0.63958458530334195</c:v>
                </c:pt>
                <c:pt idx="14">
                  <c:v>-0.62218218049552065</c:v>
                </c:pt>
                <c:pt idx="15">
                  <c:v>-0.62218218049552065</c:v>
                </c:pt>
                <c:pt idx="16">
                  <c:v>-0.63958458530334195</c:v>
                </c:pt>
                <c:pt idx="17">
                  <c:v>-0.62218218049552065</c:v>
                </c:pt>
                <c:pt idx="18">
                  <c:v>-0.62218218049552065</c:v>
                </c:pt>
                <c:pt idx="19">
                  <c:v>-0.63958458530334195</c:v>
                </c:pt>
                <c:pt idx="20">
                  <c:v>-0.62218218049552065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B22-4070-BF6A-5872E0FE5757}"/>
            </c:ext>
          </c:extLst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{08FE1694-D483-4163-A1DD-5C9500CA459F}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CB22-4070-BF6A-5872E0FE5757}"/>
                </c:ext>
              </c:extLst>
            </c:dLbl>
            <c:dLbl>
              <c:idx val="1"/>
              <c:tx>
                <c:strRef>
                  <c:f>plot!$AH$10</c:f>
                  <c:strCache>
                    <c:ptCount val="1"/>
                    <c:pt idx="0">
                      <c:v>1.4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{8F1CE86A-E14E-49AE-AE68-885326E63118}</c15:txfldGUID>
                      <c15:f>plot!$AH$10</c15:f>
                      <c15:dlblFieldTableCache>
                        <c:ptCount val="1"/>
                        <c:pt idx="0">
                          <c:v>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CB22-4070-BF6A-5872E0FE5757}"/>
                </c:ext>
              </c:extLst>
            </c:dLbl>
            <c:dLbl>
              <c:idx val="2"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{C9A29DAE-270B-41F0-A4F1-583FB0F67E91}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CB22-4070-BF6A-5872E0FE5757}"/>
                </c:ext>
              </c:extLst>
            </c:dLbl>
            <c:dLbl>
              <c:idx val="3"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{40D44D45-9B88-4A0A-8B1E-5A294E36DBAB}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CB22-4070-BF6A-5872E0FE5757}"/>
                </c:ext>
              </c:extLst>
            </c:dLbl>
            <c:dLbl>
              <c:idx val="4"/>
              <c:tx>
                <c:strRef>
                  <c:f>plot!$AH$13</c:f>
                  <c:strCache>
                    <c:ptCount val="1"/>
                    <c:pt idx="0">
                      <c:v>1.6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{23F57A22-AE99-406C-8210-45B0057D6CE7}</c15:txfldGUID>
                      <c15:f>plot!$AH$13</c15:f>
                      <c15:dlblFieldTableCache>
                        <c:ptCount val="1"/>
                        <c:pt idx="0">
                          <c:v>1.6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CB22-4070-BF6A-5872E0FE5757}"/>
                </c:ext>
              </c:extLst>
            </c:dLbl>
            <c:dLbl>
              <c:idx val="5"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{A251630C-9834-493B-A07B-7B4A4A4E4A5B}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CB22-4070-BF6A-5872E0FE5757}"/>
                </c:ext>
              </c:extLst>
            </c:dLbl>
            <c:dLbl>
              <c:idx val="6"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{56DEC9C4-C626-430F-9FB5-08EDDAAA97A4}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CB22-4070-BF6A-5872E0FE5757}"/>
                </c:ext>
              </c:extLst>
            </c:dLbl>
            <c:dLbl>
              <c:idx val="7"/>
              <c:tx>
                <c:strRef>
                  <c:f>plot!$AH$16</c:f>
                  <c:strCache>
                    <c:ptCount val="1"/>
                    <c:pt idx="0">
                      <c:v>1.8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{2D9AFEBD-B1BB-4A24-A381-601CEDAC1369}</c15:txfldGUID>
                      <c15:f>plot!$AH$16</c15:f>
                      <c15:dlblFieldTableCache>
                        <c:ptCount val="1"/>
                        <c:pt idx="0">
                          <c:v>1.8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CB22-4070-BF6A-5872E0FE5757}"/>
                </c:ext>
              </c:extLst>
            </c:dLbl>
            <c:dLbl>
              <c:idx val="8"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{90871E56-3DD6-4F98-98B1-2E2643F454F0}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CB22-4070-BF6A-5872E0FE5757}"/>
                </c:ext>
              </c:extLst>
            </c:dLbl>
            <c:dLbl>
              <c:idx val="9"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{0C0B2CB5-27D3-4267-AFD9-D26452CCDCF6}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CB22-4070-BF6A-5872E0FE5757}"/>
                </c:ext>
              </c:extLst>
            </c:dLbl>
            <c:dLbl>
              <c:idx val="10"/>
              <c:tx>
                <c:strRef>
                  <c:f>plot!$AH$19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{AE43C0A0-9BD5-4508-8AD8-F55854881940}</c15:txfldGUID>
                      <c15:f>plot!$AH$19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CB22-4070-BF6A-5872E0FE5757}"/>
                </c:ext>
              </c:extLst>
            </c:dLbl>
            <c:dLbl>
              <c:idx val="11"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{0E4F9AFE-1069-4BB4-8336-0828FED8BC28}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CB22-4070-BF6A-5872E0FE5757}"/>
                </c:ext>
              </c:extLst>
            </c:dLbl>
            <c:dLbl>
              <c:idx val="12"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{44EB92C8-0FAC-4EEB-8001-B4AC558C4F3E}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CB22-4070-BF6A-5872E0FE5757}"/>
                </c:ext>
              </c:extLst>
            </c:dLbl>
            <c:dLbl>
              <c:idx val="13"/>
              <c:tx>
                <c:strRef>
                  <c:f>plot!$AH$22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{87FB7D64-614F-42F5-957F-EFC2C93ECD78}</c15:txfldGUID>
                      <c15:f>plot!$AH$22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CB22-4070-BF6A-5872E0FE5757}"/>
                </c:ext>
              </c:extLst>
            </c:dLbl>
            <c:dLbl>
              <c:idx val="14"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{6B12E04E-35CD-42E0-AF85-B7E8E1B8E8FA}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CB22-4070-BF6A-5872E0FE5757}"/>
                </c:ext>
              </c:extLst>
            </c:dLbl>
            <c:dLbl>
              <c:idx val="15"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{8DE8BD2A-784E-46F6-8CD5-247F5CF2E6CC}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CB22-4070-BF6A-5872E0FE5757}"/>
                </c:ext>
              </c:extLst>
            </c:dLbl>
            <c:dLbl>
              <c:idx val="16"/>
              <c:tx>
                <c:strRef>
                  <c:f>plot!$AH$25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{2E631B2A-26FA-4327-A74C-BC3D155F503B}</c15:txfldGUID>
                      <c15:f>plot!$AH$25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CB22-4070-BF6A-5872E0FE5757}"/>
                </c:ext>
              </c:extLst>
            </c:dLbl>
            <c:dLbl>
              <c:idx val="17"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{04BFF347-E358-4215-A264-410065AB6D63}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CB22-4070-BF6A-5872E0FE5757}"/>
                </c:ext>
              </c:extLst>
            </c:dLbl>
            <c:dLbl>
              <c:idx val="18"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{9309C5AB-310E-4164-9D91-12DD29F0BC39}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CB22-4070-BF6A-5872E0FE5757}"/>
                </c:ext>
              </c:extLst>
            </c:dLbl>
            <c:dLbl>
              <c:idx val="19"/>
              <c:tx>
                <c:strRef>
                  <c:f>plot!$AH$28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{F7088BE2-EE7A-4885-8C80-5D76E7417235}</c15:txfldGUID>
                      <c15:f>plot!$AH$28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CB22-4070-BF6A-5872E0FE5757}"/>
                </c:ext>
              </c:extLst>
            </c:dLbl>
            <c:dLbl>
              <c:idx val="20"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CN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{ACF46341-7B1A-43C9-9198-5512A71AFF20}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CB22-4070-BF6A-5872E0FE57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0.70699908539882417</c:v>
                </c:pt>
                <c:pt idx="1">
                  <c:v>0.77893306543268925</c:v>
                </c:pt>
                <c:pt idx="2">
                  <c:v>0.70699908539882417</c:v>
                </c:pt>
                <c:pt idx="3">
                  <c:v>0.70699908539882417</c:v>
                </c:pt>
                <c:pt idx="4">
                  <c:v>0.77893306543268925</c:v>
                </c:pt>
                <c:pt idx="5">
                  <c:v>0.70699908539882417</c:v>
                </c:pt>
                <c:pt idx="6">
                  <c:v>0.70699908539882417</c:v>
                </c:pt>
                <c:pt idx="7">
                  <c:v>0.77893306543268925</c:v>
                </c:pt>
                <c:pt idx="8">
                  <c:v>0.70699908539882417</c:v>
                </c:pt>
                <c:pt idx="9">
                  <c:v>0.70699908539882428</c:v>
                </c:pt>
                <c:pt idx="10">
                  <c:v>0.77893306543268936</c:v>
                </c:pt>
                <c:pt idx="11">
                  <c:v>0.70699908539882428</c:v>
                </c:pt>
                <c:pt idx="12">
                  <c:v>0.70699908539882428</c:v>
                </c:pt>
                <c:pt idx="13">
                  <c:v>0.77893306543268936</c:v>
                </c:pt>
                <c:pt idx="14">
                  <c:v>0.70699908539882428</c:v>
                </c:pt>
                <c:pt idx="15">
                  <c:v>0.70699908539882428</c:v>
                </c:pt>
                <c:pt idx="16">
                  <c:v>0.77893306543268936</c:v>
                </c:pt>
                <c:pt idx="17">
                  <c:v>0.70699908539882428</c:v>
                </c:pt>
                <c:pt idx="18">
                  <c:v>0.70699908539882428</c:v>
                </c:pt>
                <c:pt idx="19">
                  <c:v>0.77893306543268936</c:v>
                </c:pt>
                <c:pt idx="20">
                  <c:v>0.70699908539882428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-0.29594608337445977</c:v>
                </c:pt>
                <c:pt idx="1">
                  <c:v>-0.31275139035202149</c:v>
                </c:pt>
                <c:pt idx="2">
                  <c:v>-0.29594608337445977</c:v>
                </c:pt>
                <c:pt idx="3">
                  <c:v>-4.8211300552817922E-2</c:v>
                </c:pt>
                <c:pt idx="4">
                  <c:v>-6.5016607530379605E-2</c:v>
                </c:pt>
                <c:pt idx="5">
                  <c:v>-4.8211300552817922E-2</c:v>
                </c:pt>
                <c:pt idx="6">
                  <c:v>0.19952348226882394</c:v>
                </c:pt>
                <c:pt idx="7">
                  <c:v>0.18271817529126225</c:v>
                </c:pt>
                <c:pt idx="8">
                  <c:v>0.19952348226882394</c:v>
                </c:pt>
                <c:pt idx="9">
                  <c:v>0.44725826509046579</c:v>
                </c:pt>
                <c:pt idx="10">
                  <c:v>0.43045295811290407</c:v>
                </c:pt>
                <c:pt idx="11">
                  <c:v>0.44725826509046579</c:v>
                </c:pt>
                <c:pt idx="12">
                  <c:v>0.44725826509046579</c:v>
                </c:pt>
                <c:pt idx="13">
                  <c:v>0.43045295811290407</c:v>
                </c:pt>
                <c:pt idx="14">
                  <c:v>0.44725826509046579</c:v>
                </c:pt>
                <c:pt idx="15">
                  <c:v>0.44725826509046579</c:v>
                </c:pt>
                <c:pt idx="16">
                  <c:v>0.43045295811290407</c:v>
                </c:pt>
                <c:pt idx="17">
                  <c:v>0.44725826509046579</c:v>
                </c:pt>
                <c:pt idx="18">
                  <c:v>0.44725826509046579</c:v>
                </c:pt>
                <c:pt idx="19">
                  <c:v>0.43045295811290407</c:v>
                </c:pt>
                <c:pt idx="20">
                  <c:v>0.44725826509046579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CB22-4070-BF6A-5872E0FE5757}"/>
            </c:ext>
          </c:extLst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5"/>
            <c:spPr>
              <a:solidFill>
                <a:srgbClr val="0000FF">
                  <a:alpha val="50196"/>
                </a:srgbClr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plot!$B$33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{409235CB-9C7A-47DD-AB3D-933671FCF74B}</c15:txfldGUID>
                      <c15:f>plot!$B$33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CB22-4070-BF6A-5872E0FE5757}"/>
                </c:ext>
              </c:extLst>
            </c:dLbl>
            <c:dLbl>
              <c:idx val="1"/>
              <c:tx>
                <c:strRef>
                  <c:f>plot!$B$34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{40DBDCF8-B69B-49E6-BEC1-23E03D3DDECE}</c15:txfldGUID>
                      <c15:f>plot!$B$34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CB22-4070-BF6A-5872E0FE5757}"/>
                </c:ext>
              </c:extLst>
            </c:dLbl>
            <c:dLbl>
              <c:idx val="2"/>
              <c:tx>
                <c:strRef>
                  <c:f>plot!$B$35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{101017C7-3658-429D-9E07-1F7B84935B62}</c15:txfldGUID>
                      <c15:f>plot!$B$35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CB22-4070-BF6A-5872E0FE5757}"/>
                </c:ext>
              </c:extLst>
            </c:dLbl>
            <c:dLbl>
              <c:idx val="3"/>
              <c:tx>
                <c:strRef>
                  <c:f>plot!$B$36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{2D832D01-F1D2-4B2E-AC0F-8EE1793B10CA}</c15:txfldGUID>
                      <c15:f>plot!$B$36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CB22-4070-BF6A-5872E0FE5757}"/>
                </c:ext>
              </c:extLst>
            </c:dLbl>
            <c:dLbl>
              <c:idx val="4"/>
              <c:tx>
                <c:strRef>
                  <c:f>plot!$B$37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{85E734F5-31B9-4A49-86AD-ACD2D775AD92}</c15:txfldGUID>
                      <c15:f>plot!$B$37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CB22-4070-BF6A-5872E0FE5757}"/>
                </c:ext>
              </c:extLst>
            </c:dLbl>
            <c:dLbl>
              <c:idx val="5"/>
              <c:tx>
                <c:strRef>
                  <c:f>plot!$B$38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{269659F3-C03B-47E4-B38A-8BD72488C275}</c15:txfldGUID>
                      <c15:f>plot!$B$38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CB22-4070-BF6A-5872E0FE5757}"/>
                </c:ext>
              </c:extLst>
            </c:dLbl>
            <c:dLbl>
              <c:idx val="6"/>
              <c:tx>
                <c:strRef>
                  <c:f>plot!$B$39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>
                      <a:solidFill>
                        <a:schemeClr val="bg1">
                          <a:lumMod val="65000"/>
                        </a:schemeClr>
                      </a:solidFill>
                      <a:latin typeface="Arial Narrow"/>
                      <a:cs typeface="Arial Narrow"/>
                    </a:defRPr>
                  </a:pPr>
                  <a:endParaRPr lang="zh-CN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{D980A240-1C55-4B8D-A93B-7152E805A1DD}</c15:txfldGUID>
                      <c15:f>plot!$B$39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CB22-4070-BF6A-5872E0FE5757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plot!$G$33:$G$218</c:f>
                <c:numCache>
                  <c:formatCode>General</c:formatCode>
                  <c:ptCount val="186"/>
                  <c:pt idx="0">
                    <c:v>0.54164079515634067</c:v>
                  </c:pt>
                  <c:pt idx="1">
                    <c:v>0.55084443342653433</c:v>
                  </c:pt>
                  <c:pt idx="2">
                    <c:v>0.53483169316983548</c:v>
                  </c:pt>
                  <c:pt idx="3">
                    <c:v>0.77076845378829262</c:v>
                  </c:pt>
                  <c:pt idx="4">
                    <c:v>5.4691968274294345E-2</c:v>
                  </c:pt>
                  <c:pt idx="5">
                    <c:v>0.50743156349921792</c:v>
                  </c:pt>
                  <c:pt idx="6">
                    <c:v>0.52655881305881147</c:v>
                  </c:pt>
                  <c:pt idx="7">
                    <c:v>0.50014508277958514</c:v>
                  </c:pt>
                  <c:pt idx="8">
                    <c:v>3.7040158954121383E-2</c:v>
                  </c:pt>
                  <c:pt idx="9">
                    <c:v>3.4079307150271854E-2</c:v>
                  </c:pt>
                  <c:pt idx="10">
                    <c:v>5.4691968274294345E-2</c:v>
                  </c:pt>
                  <c:pt idx="11">
                    <c:v>0.50743156349921792</c:v>
                  </c:pt>
                  <c:pt idx="12">
                    <c:v>0.52655881305881147</c:v>
                  </c:pt>
                  <c:pt idx="13">
                    <c:v>0.50014508277958514</c:v>
                  </c:pt>
                  <c:pt idx="14">
                    <c:v>3.7040158954121383E-2</c:v>
                  </c:pt>
                  <c:pt idx="15">
                    <c:v>3.4079307150271854E-2</c:v>
                  </c:pt>
                  <c:pt idx="16">
                    <c:v>0.10615275035635452</c:v>
                  </c:pt>
                  <c:pt idx="17">
                    <c:v>5.4185908046685438E-2</c:v>
                  </c:pt>
                  <c:pt idx="18">
                    <c:v>9.4654357179623061E-2</c:v>
                  </c:pt>
                  <c:pt idx="19">
                    <c:v>9.5259152104925582E-2</c:v>
                  </c:pt>
                  <c:pt idx="20">
                    <c:v>0.17836003227885694</c:v>
                  </c:pt>
                  <c:pt idx="21">
                    <c:v>0.73900721338762199</c:v>
                  </c:pt>
                  <c:pt idx="22">
                    <c:v>0.91569919782678422</c:v>
                  </c:pt>
                  <c:pt idx="23">
                    <c:v>0.52623975543201551</c:v>
                  </c:pt>
                  <c:pt idx="24">
                    <c:v>0.52291802217666017</c:v>
                  </c:pt>
                  <c:pt idx="25">
                    <c:v>6.2923934985935293E-2</c:v>
                  </c:pt>
                  <c:pt idx="26">
                    <c:v>0.62904874891082208</c:v>
                  </c:pt>
                  <c:pt idx="27">
                    <c:v>0.24814126605329531</c:v>
                  </c:pt>
                  <c:pt idx="28">
                    <c:v>0.51208165066006295</c:v>
                  </c:pt>
                  <c:pt idx="29">
                    <c:v>0.41262370984815838</c:v>
                  </c:pt>
                  <c:pt idx="30">
                    <c:v>5.2802631339844197E-2</c:v>
                  </c:pt>
                  <c:pt idx="31">
                    <c:v>0.39144276990582144</c:v>
                  </c:pt>
                  <c:pt idx="32">
                    <c:v>6.2840466944233064E-2</c:v>
                  </c:pt>
                  <c:pt idx="33">
                    <c:v>0.22489300412179025</c:v>
                  </c:pt>
                  <c:pt idx="34">
                    <c:v>0.48532260286706147</c:v>
                  </c:pt>
                  <c:pt idx="35">
                    <c:v>5.8256760318445178E-2</c:v>
                  </c:pt>
                  <c:pt idx="36">
                    <c:v>0.47616198993527403</c:v>
                  </c:pt>
                  <c:pt idx="37">
                    <c:v>2.5934995198162558E-2</c:v>
                  </c:pt>
                  <c:pt idx="38">
                    <c:v>9.2338136054153808E-2</c:v>
                  </c:pt>
                  <c:pt idx="39">
                    <c:v>0.49135136506115679</c:v>
                  </c:pt>
                  <c:pt idx="40">
                    <c:v>7.5528829376770079E-2</c:v>
                  </c:pt>
                  <c:pt idx="41">
                    <c:v>0.48176907036878985</c:v>
                  </c:pt>
                  <c:pt idx="42">
                    <c:v>0.70360361518229875</c:v>
                  </c:pt>
                  <c:pt idx="43">
                    <c:v>0.8235147502385235</c:v>
                  </c:pt>
                  <c:pt idx="44">
                    <c:v>5.5866701840956434E-2</c:v>
                  </c:pt>
                  <c:pt idx="45">
                    <c:v>8.3616484384048173E-2</c:v>
                  </c:pt>
                  <c:pt idx="46">
                    <c:v>0.97029572627599636</c:v>
                  </c:pt>
                  <c:pt idx="47">
                    <c:v>0.51543877902251367</c:v>
                  </c:pt>
                  <c:pt idx="48">
                    <c:v>0.4880940923962917</c:v>
                  </c:pt>
                  <c:pt idx="49">
                    <c:v>0.47862600963217483</c:v>
                  </c:pt>
                  <c:pt idx="50">
                    <c:v>0</c:v>
                  </c:pt>
                  <c:pt idx="51">
                    <c:v>0.49735610936805741</c:v>
                  </c:pt>
                  <c:pt idx="52">
                    <c:v>0.4975030222876401</c:v>
                  </c:pt>
                  <c:pt idx="53">
                    <c:v>0.37853306883157256</c:v>
                  </c:pt>
                  <c:pt idx="54">
                    <c:v>0.53599819574833818</c:v>
                  </c:pt>
                  <c:pt idx="55">
                    <c:v>0.42561005387084283</c:v>
                  </c:pt>
                  <c:pt idx="56">
                    <c:v>0.42469659379288383</c:v>
                  </c:pt>
                  <c:pt idx="57">
                    <c:v>9.2161005684436526E-2</c:v>
                  </c:pt>
                  <c:pt idx="58">
                    <c:v>0.45754350710579195</c:v>
                  </c:pt>
                  <c:pt idx="59">
                    <c:v>0.46154252248390337</c:v>
                  </c:pt>
                  <c:pt idx="60">
                    <c:v>2.8127770081351811E-2</c:v>
                  </c:pt>
                  <c:pt idx="61">
                    <c:v>1.8780780079078019E-2</c:v>
                  </c:pt>
                  <c:pt idx="62">
                    <c:v>0.45682109389897524</c:v>
                  </c:pt>
                  <c:pt idx="63">
                    <c:v>0.37078234551567107</c:v>
                  </c:pt>
                  <c:pt idx="64">
                    <c:v>0.45039118096442665</c:v>
                  </c:pt>
                  <c:pt idx="65">
                    <c:v>0.47115628568705858</c:v>
                  </c:pt>
                  <c:pt idx="66">
                    <c:v>4.8211344029701952E-2</c:v>
                  </c:pt>
                  <c:pt idx="67">
                    <c:v>4.8403747248780271E-2</c:v>
                  </c:pt>
                  <c:pt idx="68">
                    <c:v>6.0774055380391712E-2</c:v>
                  </c:pt>
                  <c:pt idx="69">
                    <c:v>9.4343103198484268E-3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plot!$K$33:$K$218</c:f>
              <c:numCache>
                <c:formatCode>General</c:formatCode>
                <c:ptCount val="186"/>
                <c:pt idx="0">
                  <c:v>-0.20453660721864866</c:v>
                </c:pt>
                <c:pt idx="1">
                  <c:v>-0.21729940548516427</c:v>
                </c:pt>
                <c:pt idx="2">
                  <c:v>-0.20243198321824371</c:v>
                </c:pt>
                <c:pt idx="3">
                  <c:v>-6.6319606648994625E-2</c:v>
                </c:pt>
                <c:pt idx="4">
                  <c:v>-7.1122710750436802E-2</c:v>
                </c:pt>
                <c:pt idx="5">
                  <c:v>-0.1698014813561069</c:v>
                </c:pt>
                <c:pt idx="6">
                  <c:v>-0.2607135023886204</c:v>
                </c:pt>
                <c:pt idx="7">
                  <c:v>-0.12341398008446952</c:v>
                </c:pt>
                <c:pt idx="8">
                  <c:v>0.11921410818871422</c:v>
                </c:pt>
                <c:pt idx="9">
                  <c:v>0.14837084494818056</c:v>
                </c:pt>
                <c:pt idx="10">
                  <c:v>-7.1122710750436802E-2</c:v>
                </c:pt>
                <c:pt idx="11">
                  <c:v>-0.1698014813561069</c:v>
                </c:pt>
                <c:pt idx="12">
                  <c:v>-0.2607135023886204</c:v>
                </c:pt>
                <c:pt idx="13">
                  <c:v>-0.12341398008446952</c:v>
                </c:pt>
                <c:pt idx="14">
                  <c:v>0.11921410818871422</c:v>
                </c:pt>
                <c:pt idx="15">
                  <c:v>0.14837084494818056</c:v>
                </c:pt>
                <c:pt idx="16">
                  <c:v>-0.32488519104230934</c:v>
                </c:pt>
                <c:pt idx="17">
                  <c:v>-5.4597348623575126E-2</c:v>
                </c:pt>
                <c:pt idx="18">
                  <c:v>-0.17695910689575045</c:v>
                </c:pt>
                <c:pt idx="19">
                  <c:v>-0.36755235218680382</c:v>
                </c:pt>
                <c:pt idx="20">
                  <c:v>5.0418595458300255E-2</c:v>
                </c:pt>
                <c:pt idx="21">
                  <c:v>-3.803306264565489E-2</c:v>
                </c:pt>
                <c:pt idx="22">
                  <c:v>-2.597071465717482E-2</c:v>
                </c:pt>
                <c:pt idx="23">
                  <c:v>-0.26762732547300061</c:v>
                </c:pt>
                <c:pt idx="24">
                  <c:v>-0.26017231073769886</c:v>
                </c:pt>
                <c:pt idx="25">
                  <c:v>-0.14163533195040631</c:v>
                </c:pt>
                <c:pt idx="26">
                  <c:v>-2.7272511378102975E-2</c:v>
                </c:pt>
                <c:pt idx="27">
                  <c:v>2.4600183782205156E-2</c:v>
                </c:pt>
                <c:pt idx="28">
                  <c:v>-0.23570933993319895</c:v>
                </c:pt>
                <c:pt idx="29">
                  <c:v>-0.15427934299080767</c:v>
                </c:pt>
                <c:pt idx="30">
                  <c:v>2.8091620883685673E-3</c:v>
                </c:pt>
                <c:pt idx="31">
                  <c:v>-3.4779516720565354E-2</c:v>
                </c:pt>
                <c:pt idx="32">
                  <c:v>-6.5998031143843658E-2</c:v>
                </c:pt>
                <c:pt idx="33">
                  <c:v>-1.8431046752823196E-3</c:v>
                </c:pt>
                <c:pt idx="34">
                  <c:v>-0.22258977548005837</c:v>
                </c:pt>
                <c:pt idx="35">
                  <c:v>-0.11219461589370358</c:v>
                </c:pt>
                <c:pt idx="36">
                  <c:v>-0.17049799816056163</c:v>
                </c:pt>
                <c:pt idx="37">
                  <c:v>4.9643594330514573E-2</c:v>
                </c:pt>
                <c:pt idx="38">
                  <c:v>-0.13993300097462019</c:v>
                </c:pt>
                <c:pt idx="39">
                  <c:v>-0.29089179276434218</c:v>
                </c:pt>
                <c:pt idx="40">
                  <c:v>-0.28333870610945827</c:v>
                </c:pt>
                <c:pt idx="41">
                  <c:v>-0.26031237302744104</c:v>
                </c:pt>
                <c:pt idx="42">
                  <c:v>-0.10807691610857054</c:v>
                </c:pt>
                <c:pt idx="43">
                  <c:v>-1.1590313545038989E-2</c:v>
                </c:pt>
                <c:pt idx="44">
                  <c:v>-1.0324556305861625E-2</c:v>
                </c:pt>
                <c:pt idx="45">
                  <c:v>-0.25225593262477286</c:v>
                </c:pt>
                <c:pt idx="46">
                  <c:v>-2.6517415461198394E-2</c:v>
                </c:pt>
                <c:pt idx="47">
                  <c:v>-0.58587192047394154</c:v>
                </c:pt>
                <c:pt idx="48">
                  <c:v>-0.29282945929882015</c:v>
                </c:pt>
                <c:pt idx="49">
                  <c:v>-0.3111187072858777</c:v>
                </c:pt>
                <c:pt idx="50">
                  <c:v>0.26706882258401271</c:v>
                </c:pt>
                <c:pt idx="51">
                  <c:v>-0.51572136669616886</c:v>
                </c:pt>
                <c:pt idx="52">
                  <c:v>-0.52083976953612354</c:v>
                </c:pt>
                <c:pt idx="53">
                  <c:v>-3.7815307789454702E-2</c:v>
                </c:pt>
                <c:pt idx="54">
                  <c:v>-0.59340863362524421</c:v>
                </c:pt>
                <c:pt idx="55">
                  <c:v>-0.12583613702001298</c:v>
                </c:pt>
                <c:pt idx="56">
                  <c:v>-0.11959044028081121</c:v>
                </c:pt>
                <c:pt idx="57">
                  <c:v>-0.36796731658111032</c:v>
                </c:pt>
                <c:pt idx="58">
                  <c:v>-0.23215850605079377</c:v>
                </c:pt>
                <c:pt idx="59">
                  <c:v>-0.3189452613823508</c:v>
                </c:pt>
                <c:pt idx="60">
                  <c:v>0.23100026971499299</c:v>
                </c:pt>
                <c:pt idx="61">
                  <c:v>7.0779566210119771E-2</c:v>
                </c:pt>
                <c:pt idx="62">
                  <c:v>-0.22278044276932377</c:v>
                </c:pt>
                <c:pt idx="63">
                  <c:v>-7.8880159916390011E-2</c:v>
                </c:pt>
                <c:pt idx="64">
                  <c:v>-0.15406628756974611</c:v>
                </c:pt>
                <c:pt idx="65">
                  <c:v>-0.54881460663405501</c:v>
                </c:pt>
                <c:pt idx="66">
                  <c:v>2.8027439310081143E-2</c:v>
                </c:pt>
                <c:pt idx="67">
                  <c:v>2.6145211121744255E-2</c:v>
                </c:pt>
                <c:pt idx="68">
                  <c:v>-0.1452911735673591</c:v>
                </c:pt>
                <c:pt idx="69">
                  <c:v>0.21081453448769893</c:v>
                </c:pt>
              </c:numCache>
            </c:numRef>
          </c:xVal>
          <c:yVal>
            <c:numRef>
              <c:f>plot!$L$33:$L$218</c:f>
              <c:numCache>
                <c:formatCode>General</c:formatCode>
                <c:ptCount val="186"/>
                <c:pt idx="0">
                  <c:v>0.17291193243566039</c:v>
                </c:pt>
                <c:pt idx="1">
                  <c:v>0.17823374212537374</c:v>
                </c:pt>
                <c:pt idx="2">
                  <c:v>0.16561114554054182</c:v>
                </c:pt>
                <c:pt idx="3">
                  <c:v>0.44181580592146252</c:v>
                </c:pt>
                <c:pt idx="4">
                  <c:v>-0.52022421303604027</c:v>
                </c:pt>
                <c:pt idx="5">
                  <c:v>0.14431481610310298</c:v>
                </c:pt>
                <c:pt idx="6">
                  <c:v>0.14006836222841509</c:v>
                </c:pt>
                <c:pt idx="7">
                  <c:v>0.15021344444081253</c:v>
                </c:pt>
                <c:pt idx="8">
                  <c:v>-0.55488878932919961</c:v>
                </c:pt>
                <c:pt idx="9">
                  <c:v>-0.55436604031293313</c:v>
                </c:pt>
                <c:pt idx="10">
                  <c:v>-0.52022421303604027</c:v>
                </c:pt>
                <c:pt idx="11">
                  <c:v>0.14431481610310298</c:v>
                </c:pt>
                <c:pt idx="12">
                  <c:v>0.14006836222841509</c:v>
                </c:pt>
                <c:pt idx="13">
                  <c:v>0.15021344444081253</c:v>
                </c:pt>
                <c:pt idx="14">
                  <c:v>-0.55488878932919961</c:v>
                </c:pt>
                <c:pt idx="15">
                  <c:v>-0.55436604031293313</c:v>
                </c:pt>
                <c:pt idx="16">
                  <c:v>-0.43006959154599478</c:v>
                </c:pt>
                <c:pt idx="17">
                  <c:v>-0.55890839904201473</c:v>
                </c:pt>
                <c:pt idx="18">
                  <c:v>-0.39719652664141714</c:v>
                </c:pt>
                <c:pt idx="19">
                  <c:v>-0.45501744742234579</c:v>
                </c:pt>
                <c:pt idx="20">
                  <c:v>-0.19502386528149324</c:v>
                </c:pt>
                <c:pt idx="21">
                  <c:v>0.41717320863449991</c:v>
                </c:pt>
                <c:pt idx="22">
                  <c:v>0.59791066172993657</c:v>
                </c:pt>
                <c:pt idx="23">
                  <c:v>0.13793277586514091</c:v>
                </c:pt>
                <c:pt idx="24">
                  <c:v>0.13630113747143649</c:v>
                </c:pt>
                <c:pt idx="25">
                  <c:v>-0.52297295928119025</c:v>
                </c:pt>
                <c:pt idx="26">
                  <c:v>0.30813259541314619</c:v>
                </c:pt>
                <c:pt idx="27">
                  <c:v>-0.10891566729787447</c:v>
                </c:pt>
                <c:pt idx="28">
                  <c:v>0.13004493028662117</c:v>
                </c:pt>
                <c:pt idx="29">
                  <c:v>4.9312405735063181E-2</c:v>
                </c:pt>
                <c:pt idx="30">
                  <c:v>-0.60115701734806137</c:v>
                </c:pt>
                <c:pt idx="31">
                  <c:v>4.8258196942815121E-2</c:v>
                </c:pt>
                <c:pt idx="32">
                  <c:v>-0.47209200901469184</c:v>
                </c:pt>
                <c:pt idx="33">
                  <c:v>-0.16030366476238928</c:v>
                </c:pt>
                <c:pt idx="34">
                  <c:v>0.10365261811874381</c:v>
                </c:pt>
                <c:pt idx="35">
                  <c:v>-0.51392764038377159</c:v>
                </c:pt>
                <c:pt idx="36">
                  <c:v>0.10634447409253865</c:v>
                </c:pt>
                <c:pt idx="37">
                  <c:v>-0.60808046742903499</c:v>
                </c:pt>
                <c:pt idx="38">
                  <c:v>-0.39443585408786219</c:v>
                </c:pt>
                <c:pt idx="39">
                  <c:v>9.1320733706837923E-2</c:v>
                </c:pt>
                <c:pt idx="40">
                  <c:v>-0.50128535972480681</c:v>
                </c:pt>
                <c:pt idx="41">
                  <c:v>8.8321417612664141E-2</c:v>
                </c:pt>
                <c:pt idx="42">
                  <c:v>0.36381589180744556</c:v>
                </c:pt>
                <c:pt idx="43">
                  <c:v>0.50923013630886405</c:v>
                </c:pt>
                <c:pt idx="44">
                  <c:v>-0.4886405346339644</c:v>
                </c:pt>
                <c:pt idx="45">
                  <c:v>-0.46271010475113467</c:v>
                </c:pt>
                <c:pt idx="46">
                  <c:v>0.65263491110925953</c:v>
                </c:pt>
                <c:pt idx="47">
                  <c:v>4.0188485422004344E-2</c:v>
                </c:pt>
                <c:pt idx="48">
                  <c:v>8.5084396347521254E-2</c:v>
                </c:pt>
                <c:pt idx="49">
                  <c:v>6.9593836354537517E-2</c:v>
                </c:pt>
                <c:pt idx="50">
                  <c:v>-0.5852900133507456</c:v>
                </c:pt>
                <c:pt idx="51">
                  <c:v>3.317111537134132E-2</c:v>
                </c:pt>
                <c:pt idx="52">
                  <c:v>3.1082051216579712E-2</c:v>
                </c:pt>
                <c:pt idx="53">
                  <c:v>4.2921210779386154E-2</c:v>
                </c:pt>
                <c:pt idx="54">
                  <c:v>4.5349914614250267E-2</c:v>
                </c:pt>
                <c:pt idx="55">
                  <c:v>4.8790322590609052E-2</c:v>
                </c:pt>
                <c:pt idx="56">
                  <c:v>4.6417734977351299E-2</c:v>
                </c:pt>
                <c:pt idx="57">
                  <c:v>-0.46145039412829525</c:v>
                </c:pt>
                <c:pt idx="58">
                  <c:v>4.7223276156239419E-2</c:v>
                </c:pt>
                <c:pt idx="59">
                  <c:v>2.6884838333464771E-2</c:v>
                </c:pt>
                <c:pt idx="60">
                  <c:v>-0.54530411774956256</c:v>
                </c:pt>
                <c:pt idx="61">
                  <c:v>-0.6133090053286252</c:v>
                </c:pt>
                <c:pt idx="62">
                  <c:v>4.4309947998993071E-2</c:v>
                </c:pt>
                <c:pt idx="63">
                  <c:v>-1.3575555461556241E-2</c:v>
                </c:pt>
                <c:pt idx="64">
                  <c:v>4.5849163122762604E-2</c:v>
                </c:pt>
                <c:pt idx="65">
                  <c:v>-3.3341852964518318E-2</c:v>
                </c:pt>
                <c:pt idx="66">
                  <c:v>-0.53957318579486135</c:v>
                </c:pt>
                <c:pt idx="67">
                  <c:v>-0.53894105405677251</c:v>
                </c:pt>
                <c:pt idx="68">
                  <c:v>-0.50367828585084196</c:v>
                </c:pt>
                <c:pt idx="69">
                  <c:v>-0.59703095529740891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CB22-4070-BF6A-5872E0FE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831608"/>
        <c:axId val="475834568"/>
      </c:scatterChart>
      <c:valAx>
        <c:axId val="475831608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475834568"/>
        <c:crosses val="autoZero"/>
        <c:crossBetween val="midCat"/>
      </c:valAx>
      <c:valAx>
        <c:axId val="475834568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4758316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CN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04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46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checked="Checked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106" name="Diagramm 23">
          <a:extLst>
            <a:ext uri="{FF2B5EF4-FFF2-40B4-BE49-F238E27FC236}">
              <a16:creationId xmlns:a16="http://schemas.microsoft.com/office/drawing/2014/main" id="{00000000-0008-0000-0000-00004AA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19</xdr:row>
          <xdr:rowOff>9525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9525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21</xdr:row>
          <xdr:rowOff>180975</xdr:rowOff>
        </xdr:from>
        <xdr:to>
          <xdr:col>3</xdr:col>
          <xdr:colOff>257175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>
          <a:extLst>
            <a:ext uri="{FF2B5EF4-FFF2-40B4-BE49-F238E27FC236}">
              <a16:creationId xmlns:a16="http://schemas.microsoft.com/office/drawing/2014/main" id="{00000000-0008-0000-0000-000047AC0000}"/>
            </a:ext>
          </a:extLst>
        </xdr:cNvPr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17</xdr:row>
          <xdr:rowOff>190500</xdr:rowOff>
        </xdr:from>
        <xdr:to>
          <xdr:col>2</xdr:col>
          <xdr:colOff>904875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0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43AD287-A093-43BC-AE35-F70047A50ADC}" autoFormatId="16" applyNumberFormats="0" applyBorderFormats="0" applyFontFormats="0" applyPatternFormats="0" applyAlignmentFormats="0" applyWidthHeightFormats="0">
  <queryTableRefresh nextId="16">
    <queryTableFields count="1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catterlist" displayName="scatterlist_1" ref="B32:R212" totalsRowShown="0">
  <autoFilter ref="B32:R212" xr:uid="{00000000-0009-0000-0100-000002000000}"/>
  <tableColumns count="17">
    <tableColumn id="1" xr3:uid="{00000000-0010-0000-0000-000001000000}" name="labels" dataDxfId="18"/>
    <tableColumn id="2" xr3:uid="{00000000-0010-0000-0000-000002000000}" name="x-value" dataDxfId="17">
      <calculatedColumnFormula>final_solutions[[#This Row],[Obj1]]*(-1)*3.6</calculatedColumnFormula>
    </tableColumn>
    <tableColumn id="3" xr3:uid="{00000000-0010-0000-0000-000003000000}" name="y-value" dataDxfId="16">
      <calculatedColumnFormula>final_solutions[[#This Row],[Obj2]]</calculatedColumnFormula>
    </tableColumn>
    <tableColumn id="4" xr3:uid="{00000000-0010-0000-0000-000004000000}" name="z-value" dataDxfId="15">
      <calculatedColumnFormula>final_solutions[[#This Row],[Obj3]]/200</calculatedColumnFormula>
    </tableColumn>
    <tableColumn id="5" xr3:uid="{00000000-0010-0000-0000-000005000000}" name="4th dimension" dataDxfId="14"/>
    <tableColumn id="6" xr3:uid="{00000000-0010-0000-0000-000006000000}" name="z drop lines" dataDxfId="13"/>
    <tableColumn id="7" xr3:uid="{00000000-0010-0000-0000-000007000000}" name="x norm" dataDxfId="12"/>
    <tableColumn id="8" xr3:uid="{00000000-0010-0000-0000-000008000000}" name="y norm" dataDxfId="11"/>
    <tableColumn id="9" xr3:uid="{00000000-0010-0000-0000-000009000000}" name="z norm" dataDxfId="10"/>
    <tableColumn id="10" xr3:uid="{00000000-0010-0000-0000-00000A000000}" name="xs" dataDxfId="9"/>
    <tableColumn id="11" xr3:uid="{00000000-0010-0000-0000-00000B000000}" name="ys" dataDxfId="8"/>
    <tableColumn id="12" xr3:uid="{00000000-0010-0000-0000-00000C000000}" name="_xs_cpx" dataDxfId="7"/>
    <tableColumn id="13" xr3:uid="{00000000-0010-0000-0000-00000D000000}" name="_ys_cpx" dataDxfId="6"/>
    <tableColumn id="14" xr3:uid="{00000000-0010-0000-0000-00000E000000}" name="_xs_cpy" dataDxfId="5"/>
    <tableColumn id="15" xr3:uid="{00000000-0010-0000-0000-00000F000000}" name="_ys_cpy" dataDxfId="4"/>
    <tableColumn id="16" xr3:uid="{00000000-0010-0000-0000-000010000000}" name="_xs_cpz" dataDxfId="3"/>
    <tableColumn id="17" xr3:uid="{00000000-0010-0000-0000-000011000000}" name="_ys_cpz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234A58-A67D-4D8A-8255-7E822B2BF70F}" name="final_solutions" displayName="final_solutions" ref="A1:O181" tableType="queryTable" totalsRowShown="0" headerRowDxfId="1" headerRowBorderDxfId="0">
  <autoFilter ref="A1:O181" xr:uid="{EE234A58-A67D-4D8A-8255-7E822B2BF70F}">
    <filterColumn colId="12">
      <customFilters>
        <customFilter operator="lessThanOrEqual" val="-110"/>
      </customFilters>
    </filterColumn>
    <filterColumn colId="13">
      <customFilters>
        <customFilter operator="lessThanOrEqual" val="400"/>
      </customFilters>
    </filterColumn>
    <filterColumn colId="14">
      <customFilters>
        <customFilter operator="lessThanOrEqual" val="300"/>
      </customFilters>
    </filterColumn>
  </autoFilter>
  <sortState xmlns:xlrd2="http://schemas.microsoft.com/office/spreadsheetml/2017/richdata2" ref="A4:O181">
    <sortCondition ref="N2:N181"/>
    <sortCondition descending="1" ref="J2:J181"/>
  </sortState>
  <tableColumns count="15">
    <tableColumn id="1" xr3:uid="{0B0AF5D9-81CF-4A6B-9DAA-42B9E9DFAF71}" uniqueName="1" name="Column1" queryTableFieldId="1"/>
    <tableColumn id="2" xr3:uid="{4BF9A22E-7B98-4442-9385-F524AA250AFA}" uniqueName="2" name="Column2" queryTableFieldId="2"/>
    <tableColumn id="3" xr3:uid="{E1928FEF-BA41-4A6D-8880-72090C171179}" uniqueName="3" name="Column3" queryTableFieldId="3"/>
    <tableColumn id="4" xr3:uid="{D2EB3DE2-F6D9-402F-9222-21FC578A8164}" uniqueName="4" name="Column4" queryTableFieldId="4"/>
    <tableColumn id="5" xr3:uid="{2965CF99-0CF2-4B33-8566-C3375FD1D6B4}" uniqueName="5" name="Column5" queryTableFieldId="5"/>
    <tableColumn id="6" xr3:uid="{CBA8401D-8C12-4D9A-921D-4B8425751CF2}" uniqueName="6" name="Column6" queryTableFieldId="6"/>
    <tableColumn id="7" xr3:uid="{B725DDB7-F42D-4E2B-9915-18D2AD60C5C0}" uniqueName="7" name="Column7" queryTableFieldId="7"/>
    <tableColumn id="8" xr3:uid="{6DA6C788-0D21-42AE-A46E-66308A8BB531}" uniqueName="8" name="Column8" queryTableFieldId="8"/>
    <tableColumn id="9" xr3:uid="{38B89F76-445D-444D-8069-2CBBC5EC57C9}" uniqueName="9" name="Column9" queryTableFieldId="9"/>
    <tableColumn id="10" xr3:uid="{D276849C-4D44-401E-B77F-ACE00CC5822A}" uniqueName="10" name="L1" queryTableFieldId="10"/>
    <tableColumn id="11" xr3:uid="{DA42E1B2-18ED-4EBA-A94E-FF6188C9A92B}" uniqueName="11" name="L2" queryTableFieldId="11"/>
    <tableColumn id="12" xr3:uid="{C89E05B6-8C8B-4208-8126-C99B454D6A1F}" uniqueName="12" name="L3" queryTableFieldId="12"/>
    <tableColumn id="13" xr3:uid="{C7F57CF7-0899-4021-9792-E6266A0342D1}" uniqueName="13" name="Obj1" queryTableFieldId="13"/>
    <tableColumn id="14" xr3:uid="{167ECCDE-61FF-4C6A-B6F3-BACA125DACF7}" uniqueName="14" name="Obj2" queryTableFieldId="14"/>
    <tableColumn id="15" xr3:uid="{CA44B120-07EF-4188-9B81-E77C5668E52C}" uniqueName="15" name="Obj3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J212"/>
  <sheetViews>
    <sheetView topLeftCell="A9" zoomScale="85" zoomScaleNormal="85" workbookViewId="0">
      <selection activeCell="U54" sqref="U54"/>
    </sheetView>
  </sheetViews>
  <sheetFormatPr defaultColWidth="11" defaultRowHeight="12.75"/>
  <cols>
    <col min="1" max="1" width="147.25" style="58" customWidth="1"/>
    <col min="6" max="6" width="13.25" customWidth="1"/>
    <col min="7" max="7" width="20.75" customWidth="1"/>
    <col min="9" max="9" width="12.75" customWidth="1"/>
    <col min="10" max="10" width="12" customWidth="1"/>
    <col min="18" max="18" width="9.625" customWidth="1"/>
    <col min="19" max="21" width="10.75"/>
  </cols>
  <sheetData>
    <row r="1" spans="2:36">
      <c r="G1" s="1"/>
      <c r="H1" s="12"/>
    </row>
    <row r="2" spans="2:36">
      <c r="G2" s="1"/>
      <c r="H2" s="12"/>
    </row>
    <row r="3" spans="2:36">
      <c r="G3" s="1"/>
      <c r="H3" s="12"/>
    </row>
    <row r="4" spans="2:36">
      <c r="B4" s="13"/>
      <c r="G4" s="1"/>
      <c r="H4" s="12"/>
    </row>
    <row r="5" spans="2:36">
      <c r="G5" s="1"/>
      <c r="H5" s="12"/>
      <c r="X5" s="9"/>
      <c r="AA5" s="9"/>
      <c r="AB5" s="9"/>
      <c r="AC5" s="9"/>
    </row>
    <row r="6" spans="2:36">
      <c r="G6" s="1"/>
      <c r="H6" s="12"/>
      <c r="S6" s="2" t="s">
        <v>64</v>
      </c>
      <c r="T6" t="s">
        <v>75</v>
      </c>
      <c r="U6" t="s">
        <v>76</v>
      </c>
    </row>
    <row r="7" spans="2:36">
      <c r="G7" s="1"/>
      <c r="T7" t="s">
        <v>79</v>
      </c>
      <c r="U7" t="s">
        <v>80</v>
      </c>
    </row>
    <row r="8" spans="2:36">
      <c r="G8" s="19" t="s">
        <v>14</v>
      </c>
      <c r="H8" s="28">
        <f t="array" ref="H8">1+MAX(IF(H33:H65713&lt;&gt;0,ROW(H33:H65713),0))-ROW(H33)</f>
        <v>70</v>
      </c>
      <c r="I8" s="29" t="s">
        <v>5</v>
      </c>
      <c r="J8" s="5"/>
      <c r="K8" s="14" t="s">
        <v>63</v>
      </c>
      <c r="L8" s="5"/>
      <c r="M8" s="5"/>
      <c r="N8" s="15" t="s">
        <v>53</v>
      </c>
      <c r="O8" s="6"/>
      <c r="S8" s="3" t="s">
        <v>65</v>
      </c>
      <c r="T8" t="s">
        <v>11</v>
      </c>
      <c r="U8" t="s">
        <v>12</v>
      </c>
      <c r="V8" s="23" t="s">
        <v>73</v>
      </c>
      <c r="W8" s="10" t="s">
        <v>74</v>
      </c>
      <c r="X8" s="10" t="s">
        <v>66</v>
      </c>
      <c r="Y8" s="10" t="s">
        <v>67</v>
      </c>
      <c r="Z8" s="11" t="s">
        <v>68</v>
      </c>
      <c r="AA8" s="23" t="s">
        <v>77</v>
      </c>
      <c r="AB8" s="10" t="s">
        <v>78</v>
      </c>
      <c r="AC8" s="10" t="s">
        <v>81</v>
      </c>
      <c r="AD8" s="10" t="s">
        <v>69</v>
      </c>
      <c r="AE8" s="11" t="s">
        <v>70</v>
      </c>
      <c r="AF8" s="23" t="s">
        <v>8</v>
      </c>
      <c r="AG8" s="10" t="s">
        <v>7</v>
      </c>
      <c r="AH8" s="10" t="s">
        <v>6</v>
      </c>
      <c r="AI8" s="10" t="s">
        <v>71</v>
      </c>
      <c r="AJ8" s="11" t="s">
        <v>72</v>
      </c>
    </row>
    <row r="9" spans="2:36">
      <c r="G9" s="1"/>
      <c r="H9" s="24"/>
      <c r="I9" s="24"/>
      <c r="J9" s="24"/>
      <c r="K9" s="44" t="s">
        <v>35</v>
      </c>
      <c r="L9" s="45" t="s">
        <v>36</v>
      </c>
      <c r="M9" s="45" t="s">
        <v>37</v>
      </c>
      <c r="N9" t="s">
        <v>9</v>
      </c>
      <c r="O9" s="4" t="s">
        <v>10</v>
      </c>
      <c r="S9" s="49">
        <v>0</v>
      </c>
      <c r="T9" s="50">
        <v>0.5</v>
      </c>
      <c r="U9" s="51">
        <v>-0.5</v>
      </c>
      <c r="V9" s="24">
        <f t="shared" ref="V9:V29" si="0">IF($S9&gt;H$23,H$23,$S9)</f>
        <v>0</v>
      </c>
      <c r="W9" s="24">
        <f t="shared" ref="W9:W29" si="1">H$24+V9*H$25</f>
        <v>-0.42346938780508125</v>
      </c>
      <c r="X9" s="24"/>
      <c r="Y9" s="24">
        <f t="shared" ref="Y9:Y29" si="2">(W9*$H$13+T9*$I$13+U9*$J$13+$D$27)*$C$27</f>
        <v>0.65383645504127241</v>
      </c>
      <c r="Z9" s="25">
        <f t="shared" ref="Z9:Z29" si="3">(W9*$H$14+T9*$I$14+U9*$J$14+$E$27)*$C$27</f>
        <v>-0.49548054092276383</v>
      </c>
      <c r="AA9" s="24">
        <f t="shared" ref="AA9:AA29" si="4">IF($S9&gt;I$23,I$23,$S9)</f>
        <v>0</v>
      </c>
      <c r="AB9" s="24">
        <f t="shared" ref="AB9:AB29" si="5">I$24+AA9*I$25</f>
        <v>-0.379796864520695</v>
      </c>
      <c r="AC9" s="24"/>
      <c r="AD9" s="24">
        <f t="shared" ref="AD9:AD29" si="6">(T9*$H$13+AB9*$I$13+U9*$J$13+$D$27)*$C$27</f>
        <v>-0.62053218592306114</v>
      </c>
      <c r="AE9" s="25">
        <f t="shared" ref="AE9:AE29" si="7">(T9*$H$14+AB9*$I$14+U9*$J$14+$E$27)*$C$27</f>
        <v>-0.50833385820324783</v>
      </c>
      <c r="AF9" s="24">
        <f t="shared" ref="AF9:AF29" si="8">IF($S9&gt;J$23,J$23,$S9)</f>
        <v>0</v>
      </c>
      <c r="AG9" s="24">
        <f t="shared" ref="AG9:AG29" si="9">J$24+AF9*J$25</f>
        <v>-0.30808295288804349</v>
      </c>
      <c r="AH9" s="24"/>
      <c r="AI9" s="24">
        <f t="shared" ref="AI9:AI29" si="10">(U9*$H$13+T9*$I$13+AG9*$J$13+$D$27)*$C$27</f>
        <v>0.70699908539882417</v>
      </c>
      <c r="AJ9" s="25">
        <f t="shared" ref="AJ9:AJ29" si="11">(U9*$H$14+T9*$I$14+AG9*$J$14+$E$27)*$C$27</f>
        <v>-0.29594608337445977</v>
      </c>
    </row>
    <row r="10" spans="2:36" ht="15.95" customHeight="1">
      <c r="B10" t="s">
        <v>44</v>
      </c>
      <c r="G10" s="2" t="s">
        <v>25</v>
      </c>
      <c r="H10" s="24"/>
      <c r="I10" s="24"/>
      <c r="J10" s="24"/>
      <c r="K10" s="40">
        <v>0.5</v>
      </c>
      <c r="L10" s="46">
        <v>-0.5</v>
      </c>
      <c r="M10" s="46">
        <v>-0.5</v>
      </c>
      <c r="N10" s="33">
        <f t="shared" ref="N10:N20" si="12">(K10*$H$13+L10*$I$13+M10*$J$13+$D$27)*$C$27</f>
        <v>-0.70699908539882428</v>
      </c>
      <c r="O10" s="34">
        <f t="shared" ref="O10:O20" si="13">(K10*$H$14+L10*$I$14+M10*$J$14+$E$27)*$C$27</f>
        <v>-0.48813335228929622</v>
      </c>
      <c r="P10" s="13"/>
      <c r="Q10" s="13"/>
      <c r="R10" s="13"/>
      <c r="S10" s="44">
        <v>0</v>
      </c>
      <c r="T10" s="45">
        <v>0.6</v>
      </c>
      <c r="U10" s="48">
        <v>-0.5</v>
      </c>
      <c r="V10" s="24">
        <f t="shared" si="0"/>
        <v>0</v>
      </c>
      <c r="W10" s="24">
        <f t="shared" si="1"/>
        <v>-0.42346938780508125</v>
      </c>
      <c r="X10" s="24">
        <f>H$22+V10*H$21</f>
        <v>300</v>
      </c>
      <c r="Y10" s="24">
        <f t="shared" si="2"/>
        <v>0.72577043507513739</v>
      </c>
      <c r="Z10" s="25">
        <f t="shared" si="3"/>
        <v>-0.51228584790032561</v>
      </c>
      <c r="AA10" s="24">
        <f t="shared" si="4"/>
        <v>0</v>
      </c>
      <c r="AB10" s="24">
        <f t="shared" si="5"/>
        <v>-0.379796864520695</v>
      </c>
      <c r="AC10" s="24">
        <f>I$22+AA10*I$21</f>
        <v>200</v>
      </c>
      <c r="AD10" s="24">
        <f t="shared" si="6"/>
        <v>-0.68999802296896096</v>
      </c>
      <c r="AE10" s="25">
        <f t="shared" si="7"/>
        <v>-0.52573626301106913</v>
      </c>
      <c r="AF10" s="24">
        <f t="shared" si="8"/>
        <v>0</v>
      </c>
      <c r="AG10" s="24">
        <f t="shared" si="9"/>
        <v>-0.30808295288804349</v>
      </c>
      <c r="AH10" s="24">
        <f>J$22+AF10*J$21</f>
        <v>1.4000000000000001</v>
      </c>
      <c r="AI10" s="24">
        <f t="shared" si="10"/>
        <v>0.77893306543268925</v>
      </c>
      <c r="AJ10" s="25">
        <f t="shared" si="11"/>
        <v>-0.31275139035202149</v>
      </c>
    </row>
    <row r="11" spans="2:36" ht="15.95" customHeight="1">
      <c r="B11" t="s">
        <v>45</v>
      </c>
      <c r="G11" s="1" t="s">
        <v>40</v>
      </c>
      <c r="H11" s="30">
        <f>SIN(RADIANS(C13))</f>
        <v>0.97029572627599647</v>
      </c>
      <c r="I11" s="29">
        <f>SIN(RADIANS(D13))</f>
        <v>1.22514845490862E-16</v>
      </c>
      <c r="J11" s="31">
        <f>SIN(RADIANS(E13))</f>
        <v>0.71933980033865108</v>
      </c>
      <c r="K11" s="40">
        <v>-0.5</v>
      </c>
      <c r="L11" s="46">
        <v>-0.5</v>
      </c>
      <c r="M11" s="46">
        <v>-0.5</v>
      </c>
      <c r="N11" s="33">
        <f t="shared" si="12"/>
        <v>-1.2340714939826974E-2</v>
      </c>
      <c r="O11" s="34">
        <f t="shared" si="13"/>
        <v>-0.3141093042110833</v>
      </c>
      <c r="P11" s="13"/>
      <c r="Q11" s="13"/>
      <c r="R11" s="13"/>
      <c r="S11" s="44">
        <v>0</v>
      </c>
      <c r="T11" s="45">
        <v>0.5</v>
      </c>
      <c r="U11" s="48">
        <v>-0.5</v>
      </c>
      <c r="V11" s="24">
        <f t="shared" si="0"/>
        <v>0</v>
      </c>
      <c r="W11" s="24">
        <f t="shared" si="1"/>
        <v>-0.42346938780508125</v>
      </c>
      <c r="X11" s="24"/>
      <c r="Y11" s="24">
        <f t="shared" si="2"/>
        <v>0.65383645504127241</v>
      </c>
      <c r="Z11" s="25">
        <f t="shared" si="3"/>
        <v>-0.49548054092276383</v>
      </c>
      <c r="AA11" s="24">
        <f t="shared" si="4"/>
        <v>0</v>
      </c>
      <c r="AB11" s="24">
        <f t="shared" si="5"/>
        <v>-0.379796864520695</v>
      </c>
      <c r="AC11" s="24"/>
      <c r="AD11" s="24">
        <f t="shared" si="6"/>
        <v>-0.62053218592306114</v>
      </c>
      <c r="AE11" s="25">
        <f t="shared" si="7"/>
        <v>-0.50833385820324783</v>
      </c>
      <c r="AF11" s="24">
        <f t="shared" si="8"/>
        <v>0</v>
      </c>
      <c r="AG11" s="24">
        <f t="shared" si="9"/>
        <v>-0.30808295288804349</v>
      </c>
      <c r="AH11" s="24"/>
      <c r="AI11" s="24">
        <f t="shared" si="10"/>
        <v>0.70699908539882417</v>
      </c>
      <c r="AJ11" s="25">
        <f t="shared" si="11"/>
        <v>-0.29594608337445977</v>
      </c>
    </row>
    <row r="12" spans="2:36" ht="15.95" customHeight="1">
      <c r="B12" t="s">
        <v>46</v>
      </c>
      <c r="G12" s="1" t="s">
        <v>41</v>
      </c>
      <c r="H12" s="32">
        <f>COS(RADIANS(C13))</f>
        <v>-0.24192189559966779</v>
      </c>
      <c r="I12" s="26">
        <f>COS(RADIANS(D13))</f>
        <v>-1</v>
      </c>
      <c r="J12" s="27">
        <f>COS(RADIANS(E13))</f>
        <v>0.69465837045899725</v>
      </c>
      <c r="K12" s="40">
        <v>-0.5</v>
      </c>
      <c r="L12" s="46">
        <v>-0.5</v>
      </c>
      <c r="M12" s="46">
        <v>0.5</v>
      </c>
      <c r="N12" s="33">
        <f t="shared" si="12"/>
        <v>-1.2340714939826853E-2</v>
      </c>
      <c r="O12" s="34">
        <f t="shared" si="13"/>
        <v>0.65618642206491318</v>
      </c>
      <c r="P12" s="13"/>
      <c r="Q12" s="13"/>
      <c r="R12" s="13"/>
      <c r="S12" s="44">
        <v>1</v>
      </c>
      <c r="T12" s="45">
        <v>0.5</v>
      </c>
      <c r="U12" s="48">
        <v>-0.5</v>
      </c>
      <c r="V12" s="24">
        <f t="shared" si="0"/>
        <v>1</v>
      </c>
      <c r="W12" s="24">
        <f t="shared" si="1"/>
        <v>-0.26020408178925453</v>
      </c>
      <c r="X12" s="24"/>
      <c r="Y12" s="24">
        <f t="shared" si="2"/>
        <v>0.54042284361182868</v>
      </c>
      <c r="Z12" s="25">
        <f t="shared" si="3"/>
        <v>-0.52389263038636624</v>
      </c>
      <c r="AA12" s="24">
        <f t="shared" si="4"/>
        <v>1</v>
      </c>
      <c r="AB12" s="24">
        <f t="shared" si="5"/>
        <v>-0.15397867021599876</v>
      </c>
      <c r="AC12" s="24"/>
      <c r="AD12" s="24">
        <f t="shared" si="6"/>
        <v>-0.45809217111908623</v>
      </c>
      <c r="AE12" s="25">
        <f t="shared" si="7"/>
        <v>-0.54628329896733874</v>
      </c>
      <c r="AF12" s="24">
        <f t="shared" si="8"/>
        <v>1</v>
      </c>
      <c r="AG12" s="24">
        <f t="shared" si="9"/>
        <v>-5.2764109248022384E-2</v>
      </c>
      <c r="AH12" s="24"/>
      <c r="AI12" s="24">
        <f t="shared" si="10"/>
        <v>0.70699908539882417</v>
      </c>
      <c r="AJ12" s="25">
        <f t="shared" si="11"/>
        <v>-4.8211300552817922E-2</v>
      </c>
    </row>
    <row r="13" spans="2:36" ht="15.95" customHeight="1">
      <c r="B13" t="s">
        <v>50</v>
      </c>
      <c r="C13" s="19">
        <v>104</v>
      </c>
      <c r="D13" s="5">
        <v>180</v>
      </c>
      <c r="E13" s="6">
        <v>46</v>
      </c>
      <c r="G13" s="1" t="s">
        <v>42</v>
      </c>
      <c r="H13" s="24">
        <f>I12*J12*H18</f>
        <v>-0.69465837045899725</v>
      </c>
      <c r="I13" s="24">
        <f>-J11*I12*I18</f>
        <v>0.71933980033865108</v>
      </c>
      <c r="J13" s="24">
        <f>I11*J18</f>
        <v>1.22514845490862E-16</v>
      </c>
      <c r="K13" s="40">
        <v>0.5</v>
      </c>
      <c r="L13" s="46">
        <v>-0.5</v>
      </c>
      <c r="M13" s="46">
        <v>0.5</v>
      </c>
      <c r="N13" s="33">
        <f t="shared" si="12"/>
        <v>-0.70699908539882406</v>
      </c>
      <c r="O13" s="34">
        <f t="shared" si="13"/>
        <v>0.48216237398670025</v>
      </c>
      <c r="P13" s="13"/>
      <c r="Q13" s="13"/>
      <c r="R13" s="13"/>
      <c r="S13" s="44">
        <v>1</v>
      </c>
      <c r="T13" s="45">
        <v>0.6</v>
      </c>
      <c r="U13" s="48">
        <v>-0.5</v>
      </c>
      <c r="V13" s="24">
        <f t="shared" si="0"/>
        <v>1</v>
      </c>
      <c r="W13" s="24">
        <f t="shared" si="1"/>
        <v>-0.26020408178925453</v>
      </c>
      <c r="X13" s="24">
        <f>H$22+V13*H$21</f>
        <v>400</v>
      </c>
      <c r="Y13" s="24">
        <f t="shared" si="2"/>
        <v>0.61235682364569366</v>
      </c>
      <c r="Z13" s="25">
        <f t="shared" si="3"/>
        <v>-0.54069793736392791</v>
      </c>
      <c r="AA13" s="24">
        <f t="shared" si="4"/>
        <v>1</v>
      </c>
      <c r="AB13" s="24">
        <f t="shared" si="5"/>
        <v>-0.15397867021599876</v>
      </c>
      <c r="AC13" s="24">
        <f>I$22+AA13*I$21</f>
        <v>400</v>
      </c>
      <c r="AD13" s="24">
        <f t="shared" si="6"/>
        <v>-0.52755800816498599</v>
      </c>
      <c r="AE13" s="25">
        <f t="shared" si="7"/>
        <v>-0.56368570377516003</v>
      </c>
      <c r="AF13" s="24">
        <f t="shared" si="8"/>
        <v>1</v>
      </c>
      <c r="AG13" s="24">
        <f t="shared" si="9"/>
        <v>-5.2764109248022384E-2</v>
      </c>
      <c r="AH13" s="24">
        <f>J$22+AF13*J$21</f>
        <v>1.6</v>
      </c>
      <c r="AI13" s="24">
        <f t="shared" si="10"/>
        <v>0.77893306543268925</v>
      </c>
      <c r="AJ13" s="25">
        <f t="shared" si="11"/>
        <v>-6.5016607530379605E-2</v>
      </c>
    </row>
    <row r="14" spans="2:36" ht="15.95" customHeight="1">
      <c r="B14" t="s">
        <v>51</v>
      </c>
      <c r="C14" s="7">
        <v>0</v>
      </c>
      <c r="D14" s="8">
        <v>0</v>
      </c>
      <c r="E14" s="16">
        <v>0</v>
      </c>
      <c r="G14" s="1" t="s">
        <v>43</v>
      </c>
      <c r="H14" s="24">
        <f>(J12*I11*H11+J11*H12)*H18</f>
        <v>-0.17402404807821292</v>
      </c>
      <c r="I14" s="24">
        <f>(-J11*I11*H11+J12*H12)*I18</f>
        <v>-0.16805306977561696</v>
      </c>
      <c r="J14" s="24">
        <f>-I12*H11*J18</f>
        <v>0.97029572627599647</v>
      </c>
      <c r="K14" s="40">
        <v>0.5</v>
      </c>
      <c r="L14" s="46">
        <v>-0.5</v>
      </c>
      <c r="M14" s="46">
        <v>-0.5</v>
      </c>
      <c r="N14" s="33">
        <f t="shared" si="12"/>
        <v>-0.70699908539882428</v>
      </c>
      <c r="O14" s="34">
        <f t="shared" si="13"/>
        <v>-0.48813335228929622</v>
      </c>
      <c r="P14" s="13"/>
      <c r="Q14" s="13"/>
      <c r="R14" s="13"/>
      <c r="S14" s="44">
        <v>1</v>
      </c>
      <c r="T14" s="45">
        <v>0.5</v>
      </c>
      <c r="U14" s="48">
        <v>-0.5</v>
      </c>
      <c r="V14" s="24">
        <f t="shared" si="0"/>
        <v>1</v>
      </c>
      <c r="W14" s="24">
        <f t="shared" si="1"/>
        <v>-0.26020408178925453</v>
      </c>
      <c r="X14" s="24"/>
      <c r="Y14" s="24">
        <f t="shared" si="2"/>
        <v>0.54042284361182868</v>
      </c>
      <c r="Z14" s="25">
        <f t="shared" si="3"/>
        <v>-0.52389263038636624</v>
      </c>
      <c r="AA14" s="24">
        <f t="shared" si="4"/>
        <v>1</v>
      </c>
      <c r="AB14" s="24">
        <f t="shared" si="5"/>
        <v>-0.15397867021599876</v>
      </c>
      <c r="AC14" s="24"/>
      <c r="AD14" s="24">
        <f t="shared" si="6"/>
        <v>-0.45809217111908623</v>
      </c>
      <c r="AE14" s="25">
        <f t="shared" si="7"/>
        <v>-0.54628329896733874</v>
      </c>
      <c r="AF14" s="24">
        <f t="shared" si="8"/>
        <v>1</v>
      </c>
      <c r="AG14" s="24">
        <f t="shared" si="9"/>
        <v>-5.2764109248022384E-2</v>
      </c>
      <c r="AH14" s="24"/>
      <c r="AI14" s="24">
        <f t="shared" si="10"/>
        <v>0.70699908539882417</v>
      </c>
      <c r="AJ14" s="25">
        <f t="shared" si="11"/>
        <v>-4.8211300552817922E-2</v>
      </c>
    </row>
    <row r="15" spans="2:36" ht="15.95" customHeight="1">
      <c r="G15" s="2" t="s">
        <v>13</v>
      </c>
      <c r="H15" s="24"/>
      <c r="I15" s="24"/>
      <c r="J15" s="24"/>
      <c r="K15" s="40">
        <v>0.5</v>
      </c>
      <c r="L15" s="46">
        <v>0.5</v>
      </c>
      <c r="M15" s="46">
        <v>-0.5</v>
      </c>
      <c r="N15" s="33">
        <f t="shared" si="12"/>
        <v>1.2340714939826853E-2</v>
      </c>
      <c r="O15" s="34">
        <f t="shared" si="13"/>
        <v>-0.65618642206491318</v>
      </c>
      <c r="P15" s="13"/>
      <c r="Q15" s="13"/>
      <c r="R15" s="13"/>
      <c r="S15" s="44">
        <v>2</v>
      </c>
      <c r="T15" s="45">
        <v>0.5</v>
      </c>
      <c r="U15" s="48">
        <v>-0.5</v>
      </c>
      <c r="V15" s="24">
        <f t="shared" si="0"/>
        <v>2</v>
      </c>
      <c r="W15" s="24">
        <f t="shared" si="1"/>
        <v>-9.6938775773427799E-2</v>
      </c>
      <c r="X15" s="24"/>
      <c r="Y15" s="24">
        <f t="shared" si="2"/>
        <v>0.42700923218238496</v>
      </c>
      <c r="Z15" s="25">
        <f t="shared" si="3"/>
        <v>-0.55230471984996865</v>
      </c>
      <c r="AA15" s="24">
        <f t="shared" si="4"/>
        <v>2</v>
      </c>
      <c r="AB15" s="24">
        <f t="shared" si="5"/>
        <v>7.1839524088697482E-2</v>
      </c>
      <c r="AC15" s="24"/>
      <c r="AD15" s="24">
        <f t="shared" si="6"/>
        <v>-0.29565215631511133</v>
      </c>
      <c r="AE15" s="25">
        <f t="shared" si="7"/>
        <v>-0.58423273973142975</v>
      </c>
      <c r="AF15" s="24">
        <f t="shared" si="8"/>
        <v>2</v>
      </c>
      <c r="AG15" s="24">
        <f t="shared" si="9"/>
        <v>0.20255473439199873</v>
      </c>
      <c r="AH15" s="24"/>
      <c r="AI15" s="24">
        <f t="shared" si="10"/>
        <v>0.70699908539882417</v>
      </c>
      <c r="AJ15" s="25">
        <f t="shared" si="11"/>
        <v>0.19952348226882394</v>
      </c>
    </row>
    <row r="16" spans="2:36" ht="15.95" customHeight="1">
      <c r="B16" t="s">
        <v>47</v>
      </c>
      <c r="G16" s="1" t="s">
        <v>38</v>
      </c>
      <c r="H16">
        <f>MIN(C33:C212)</f>
        <v>253.125</v>
      </c>
      <c r="I16">
        <f>MIN(D33:D212)</f>
        <v>93.539901999999998</v>
      </c>
      <c r="J16">
        <f>MIN(E33:E212)</f>
        <v>1.2496648000000001</v>
      </c>
      <c r="K16" s="40">
        <v>-0.5</v>
      </c>
      <c r="L16" s="46">
        <v>0.5</v>
      </c>
      <c r="M16" s="46">
        <v>-0.5</v>
      </c>
      <c r="N16" s="33">
        <f t="shared" si="12"/>
        <v>0.70699908539882406</v>
      </c>
      <c r="O16" s="34">
        <f t="shared" si="13"/>
        <v>-0.48216237398670025</v>
      </c>
      <c r="P16" s="13"/>
      <c r="Q16" s="13"/>
      <c r="R16" s="13"/>
      <c r="S16" s="44">
        <v>2</v>
      </c>
      <c r="T16" s="45">
        <v>0.6</v>
      </c>
      <c r="U16" s="48">
        <v>-0.5</v>
      </c>
      <c r="V16" s="24">
        <f t="shared" si="0"/>
        <v>2</v>
      </c>
      <c r="W16" s="24">
        <f t="shared" si="1"/>
        <v>-9.6938775773427799E-2</v>
      </c>
      <c r="X16" s="24">
        <f>H$22+V16*H$21</f>
        <v>500</v>
      </c>
      <c r="Y16" s="24">
        <f t="shared" si="2"/>
        <v>0.49894321221625004</v>
      </c>
      <c r="Z16" s="25">
        <f t="shared" si="3"/>
        <v>-0.56911002682753031</v>
      </c>
      <c r="AA16" s="24">
        <f t="shared" si="4"/>
        <v>2</v>
      </c>
      <c r="AB16" s="24">
        <f t="shared" si="5"/>
        <v>7.1839524088697482E-2</v>
      </c>
      <c r="AC16" s="24">
        <f>I$22+AA16*I$21</f>
        <v>600</v>
      </c>
      <c r="AD16" s="24">
        <f t="shared" si="6"/>
        <v>-0.36511799336101103</v>
      </c>
      <c r="AE16" s="25">
        <f t="shared" si="7"/>
        <v>-0.60163514453925093</v>
      </c>
      <c r="AF16" s="24">
        <f t="shared" si="8"/>
        <v>2</v>
      </c>
      <c r="AG16" s="24">
        <f t="shared" si="9"/>
        <v>0.20255473439199873</v>
      </c>
      <c r="AH16" s="24">
        <f>J$22+AF16*J$21</f>
        <v>1.8000000000000003</v>
      </c>
      <c r="AI16" s="24">
        <f t="shared" si="10"/>
        <v>0.77893306543268925</v>
      </c>
      <c r="AJ16" s="25">
        <f t="shared" si="11"/>
        <v>0.18271817529126225</v>
      </c>
    </row>
    <row r="17" spans="2:36" ht="15.95" customHeight="1">
      <c r="B17" t="s">
        <v>48</v>
      </c>
      <c r="G17" s="1" t="s">
        <v>39</v>
      </c>
      <c r="H17">
        <f>MAX(C33:C212)-H16</f>
        <v>612.50000040000009</v>
      </c>
      <c r="I17">
        <f>MAX(D33:D212)-I16</f>
        <v>885.668228</v>
      </c>
      <c r="J17">
        <f>MAX(E33:E212)-J16</f>
        <v>0.78333426999999967</v>
      </c>
      <c r="K17" s="40">
        <v>-0.5</v>
      </c>
      <c r="L17" s="46">
        <v>0.5</v>
      </c>
      <c r="M17" s="46">
        <v>0.5</v>
      </c>
      <c r="N17" s="33">
        <f t="shared" si="12"/>
        <v>0.70699908539882428</v>
      </c>
      <c r="O17" s="34">
        <f t="shared" si="13"/>
        <v>0.48813335228929622</v>
      </c>
      <c r="P17" s="13"/>
      <c r="Q17" s="13"/>
      <c r="R17" s="13"/>
      <c r="S17" s="44">
        <v>2</v>
      </c>
      <c r="T17" s="45">
        <v>0.5</v>
      </c>
      <c r="U17" s="48">
        <v>-0.5</v>
      </c>
      <c r="V17" s="24">
        <f t="shared" si="0"/>
        <v>2</v>
      </c>
      <c r="W17" s="24">
        <f t="shared" si="1"/>
        <v>-9.6938775773427799E-2</v>
      </c>
      <c r="X17" s="24"/>
      <c r="Y17" s="24">
        <f t="shared" si="2"/>
        <v>0.42700923218238496</v>
      </c>
      <c r="Z17" s="25">
        <f t="shared" si="3"/>
        <v>-0.55230471984996865</v>
      </c>
      <c r="AA17" s="24">
        <f t="shared" si="4"/>
        <v>2</v>
      </c>
      <c r="AB17" s="24">
        <f t="shared" si="5"/>
        <v>7.1839524088697482E-2</v>
      </c>
      <c r="AC17" s="24"/>
      <c r="AD17" s="24">
        <f t="shared" si="6"/>
        <v>-0.29565215631511133</v>
      </c>
      <c r="AE17" s="25">
        <f t="shared" si="7"/>
        <v>-0.58423273973142975</v>
      </c>
      <c r="AF17" s="24">
        <f t="shared" si="8"/>
        <v>2</v>
      </c>
      <c r="AG17" s="24">
        <f t="shared" si="9"/>
        <v>0.20255473439199873</v>
      </c>
      <c r="AH17" s="24"/>
      <c r="AI17" s="24">
        <f t="shared" si="10"/>
        <v>0.70699908539882417</v>
      </c>
      <c r="AJ17" s="25">
        <f t="shared" si="11"/>
        <v>0.19952348226882394</v>
      </c>
    </row>
    <row r="18" spans="2:36" ht="15.95" customHeight="1">
      <c r="B18" t="s">
        <v>49</v>
      </c>
      <c r="G18" s="1" t="s">
        <v>24</v>
      </c>
      <c r="H18" s="24">
        <f>IF(D23,H17/MAX($H17:$J17),1)</f>
        <v>1</v>
      </c>
      <c r="I18" s="24">
        <f>IF(D23,I17/MAX($H17:$J17),1)</f>
        <v>1</v>
      </c>
      <c r="J18" s="24">
        <f>IF(D23,J17/MAX($H17:$J17),1)</f>
        <v>1</v>
      </c>
      <c r="K18" s="40">
        <v>-0.5</v>
      </c>
      <c r="L18" s="46">
        <v>-0.5</v>
      </c>
      <c r="M18" s="46">
        <v>0.5</v>
      </c>
      <c r="N18" s="33">
        <f t="shared" si="12"/>
        <v>-1.2340714939826853E-2</v>
      </c>
      <c r="O18" s="34">
        <f t="shared" si="13"/>
        <v>0.65618642206491318</v>
      </c>
      <c r="P18" s="13"/>
      <c r="Q18" s="13"/>
      <c r="R18" s="13"/>
      <c r="S18" s="44">
        <v>3</v>
      </c>
      <c r="T18" s="45">
        <v>0.5</v>
      </c>
      <c r="U18" s="48">
        <v>-0.5</v>
      </c>
      <c r="V18" s="24">
        <f t="shared" si="0"/>
        <v>3</v>
      </c>
      <c r="W18" s="24">
        <f t="shared" si="1"/>
        <v>6.6326530242398929E-2</v>
      </c>
      <c r="X18" s="24"/>
      <c r="Y18" s="24">
        <f t="shared" si="2"/>
        <v>0.31359562075294123</v>
      </c>
      <c r="Z18" s="25">
        <f t="shared" si="3"/>
        <v>-0.58071680931357095</v>
      </c>
      <c r="AA18" s="24">
        <f t="shared" si="4"/>
        <v>3</v>
      </c>
      <c r="AB18" s="24">
        <f t="shared" si="5"/>
        <v>0.29765771839339378</v>
      </c>
      <c r="AC18" s="24"/>
      <c r="AD18" s="24">
        <f t="shared" si="6"/>
        <v>-0.13321214151113636</v>
      </c>
      <c r="AE18" s="25">
        <f t="shared" si="7"/>
        <v>-0.62218218049552065</v>
      </c>
      <c r="AF18" s="24">
        <f t="shared" si="8"/>
        <v>3</v>
      </c>
      <c r="AG18" s="24">
        <f t="shared" si="9"/>
        <v>0.45787357803201983</v>
      </c>
      <c r="AH18" s="24"/>
      <c r="AI18" s="24">
        <f t="shared" si="10"/>
        <v>0.70699908539882428</v>
      </c>
      <c r="AJ18" s="25">
        <f t="shared" si="11"/>
        <v>0.44725826509046579</v>
      </c>
    </row>
    <row r="19" spans="2:36" ht="15.95" customHeight="1">
      <c r="B19" s="20"/>
      <c r="D19" t="b">
        <v>1</v>
      </c>
      <c r="G19" s="2" t="s">
        <v>62</v>
      </c>
      <c r="H19" s="24"/>
      <c r="I19" s="24"/>
      <c r="J19" s="24"/>
      <c r="K19" s="40">
        <v>-0.5</v>
      </c>
      <c r="L19" s="46">
        <v>-0.5</v>
      </c>
      <c r="M19" s="46">
        <v>-0.5</v>
      </c>
      <c r="N19" s="33">
        <f t="shared" si="12"/>
        <v>-1.2340714939826974E-2</v>
      </c>
      <c r="O19" s="34">
        <f t="shared" si="13"/>
        <v>-0.3141093042110833</v>
      </c>
      <c r="P19" s="13"/>
      <c r="Q19" s="13"/>
      <c r="R19" s="13"/>
      <c r="S19" s="44">
        <v>3</v>
      </c>
      <c r="T19" s="45">
        <v>0.6</v>
      </c>
      <c r="U19" s="48">
        <v>-0.5</v>
      </c>
      <c r="V19" s="24">
        <f t="shared" si="0"/>
        <v>3</v>
      </c>
      <c r="W19" s="24">
        <f t="shared" si="1"/>
        <v>6.6326530242398929E-2</v>
      </c>
      <c r="X19" s="24">
        <f>H$22+V19*H$21</f>
        <v>600</v>
      </c>
      <c r="Y19" s="24">
        <f t="shared" si="2"/>
        <v>0.38552960078680631</v>
      </c>
      <c r="Z19" s="25">
        <f t="shared" si="3"/>
        <v>-0.59752211629113272</v>
      </c>
      <c r="AA19" s="24">
        <f t="shared" si="4"/>
        <v>3</v>
      </c>
      <c r="AB19" s="24">
        <f t="shared" si="5"/>
        <v>0.29765771839339378</v>
      </c>
      <c r="AC19" s="24">
        <f>I$22+AA19*I$21</f>
        <v>800</v>
      </c>
      <c r="AD19" s="24">
        <f t="shared" si="6"/>
        <v>-0.20267797855703606</v>
      </c>
      <c r="AE19" s="25">
        <f t="shared" si="7"/>
        <v>-0.63958458530334195</v>
      </c>
      <c r="AF19" s="24">
        <f t="shared" si="8"/>
        <v>3</v>
      </c>
      <c r="AG19" s="24">
        <f t="shared" si="9"/>
        <v>0.45787357803201983</v>
      </c>
      <c r="AH19" s="24">
        <f>J$22+AF19*J$21</f>
        <v>2</v>
      </c>
      <c r="AI19" s="24">
        <f t="shared" si="10"/>
        <v>0.77893306543268936</v>
      </c>
      <c r="AJ19" s="25">
        <f t="shared" si="11"/>
        <v>0.43045295811290407</v>
      </c>
    </row>
    <row r="20" spans="2:36" ht="15.95" customHeight="1">
      <c r="B20" t="s">
        <v>22</v>
      </c>
      <c r="G20" s="1" t="s">
        <v>56</v>
      </c>
      <c r="H20" s="24">
        <f>H17/5</f>
        <v>122.50000008000002</v>
      </c>
      <c r="I20" s="24">
        <f>I17/5</f>
        <v>177.13364559999999</v>
      </c>
      <c r="J20" s="24">
        <f>J17/5</f>
        <v>0.15666685399999994</v>
      </c>
      <c r="K20" s="42">
        <v>-0.5</v>
      </c>
      <c r="L20" s="47">
        <v>0.5</v>
      </c>
      <c r="M20" s="47">
        <v>-0.5</v>
      </c>
      <c r="N20" s="35">
        <f t="shared" si="12"/>
        <v>0.70699908539882406</v>
      </c>
      <c r="O20" s="36">
        <f t="shared" si="13"/>
        <v>-0.48216237398670025</v>
      </c>
      <c r="P20" s="13"/>
      <c r="Q20" s="13"/>
      <c r="R20" s="13"/>
      <c r="S20" s="44">
        <v>3</v>
      </c>
      <c r="T20" s="45">
        <v>0.5</v>
      </c>
      <c r="U20" s="48">
        <v>-0.5</v>
      </c>
      <c r="V20" s="24">
        <f t="shared" si="0"/>
        <v>3</v>
      </c>
      <c r="W20" s="24">
        <f t="shared" si="1"/>
        <v>6.6326530242398929E-2</v>
      </c>
      <c r="X20" s="24"/>
      <c r="Y20" s="24">
        <f t="shared" si="2"/>
        <v>0.31359562075294123</v>
      </c>
      <c r="Z20" s="25">
        <f t="shared" si="3"/>
        <v>-0.58071680931357095</v>
      </c>
      <c r="AA20" s="24">
        <f t="shared" si="4"/>
        <v>3</v>
      </c>
      <c r="AB20" s="24">
        <f t="shared" si="5"/>
        <v>0.29765771839339378</v>
      </c>
      <c r="AC20" s="24"/>
      <c r="AD20" s="24">
        <f t="shared" si="6"/>
        <v>-0.13321214151113636</v>
      </c>
      <c r="AE20" s="25">
        <f t="shared" si="7"/>
        <v>-0.62218218049552065</v>
      </c>
      <c r="AF20" s="24">
        <f t="shared" si="8"/>
        <v>3</v>
      </c>
      <c r="AG20" s="24">
        <f t="shared" si="9"/>
        <v>0.45787357803201983</v>
      </c>
      <c r="AH20" s="24"/>
      <c r="AI20" s="24">
        <f t="shared" si="10"/>
        <v>0.70699908539882428</v>
      </c>
      <c r="AJ20" s="25">
        <f t="shared" si="11"/>
        <v>0.44725826509046579</v>
      </c>
    </row>
    <row r="21" spans="2:36" ht="15.95" customHeight="1">
      <c r="B21" t="s">
        <v>20</v>
      </c>
      <c r="G21" s="1" t="s">
        <v>57</v>
      </c>
      <c r="H21" s="24">
        <f>ROUND(H20,1-INT(LOG(ABS(H20))+1))</f>
        <v>100</v>
      </c>
      <c r="I21" s="24">
        <f>ROUND(I20,1-INT(LOG(ABS(I20))+1))</f>
        <v>200</v>
      </c>
      <c r="J21" s="24">
        <f>ROUND(J20,1-INT(LOG(ABS(J20))+1))</f>
        <v>0.2</v>
      </c>
      <c r="K21" s="1"/>
      <c r="S21" s="44">
        <v>4</v>
      </c>
      <c r="T21" s="45">
        <v>0.5</v>
      </c>
      <c r="U21" s="48">
        <v>-0.5</v>
      </c>
      <c r="V21" s="24">
        <f t="shared" si="0"/>
        <v>4</v>
      </c>
      <c r="W21" s="24">
        <f t="shared" si="1"/>
        <v>0.22959183625822566</v>
      </c>
      <c r="X21" s="24"/>
      <c r="Y21" s="24">
        <f t="shared" si="2"/>
        <v>0.20018200932349753</v>
      </c>
      <c r="Z21" s="25">
        <f t="shared" si="3"/>
        <v>-0.60912889877717336</v>
      </c>
      <c r="AA21" s="24">
        <f t="shared" si="4"/>
        <v>3</v>
      </c>
      <c r="AB21" s="24">
        <f t="shared" si="5"/>
        <v>0.29765771839339378</v>
      </c>
      <c r="AC21" s="24"/>
      <c r="AD21" s="24">
        <f t="shared" si="6"/>
        <v>-0.13321214151113636</v>
      </c>
      <c r="AE21" s="25">
        <f t="shared" si="7"/>
        <v>-0.62218218049552065</v>
      </c>
      <c r="AF21" s="24">
        <f t="shared" si="8"/>
        <v>3</v>
      </c>
      <c r="AG21" s="24">
        <f t="shared" si="9"/>
        <v>0.45787357803201983</v>
      </c>
      <c r="AH21" s="24"/>
      <c r="AI21" s="24">
        <f t="shared" si="10"/>
        <v>0.70699908539882428</v>
      </c>
      <c r="AJ21" s="25">
        <f t="shared" si="11"/>
        <v>0.44725826509046579</v>
      </c>
    </row>
    <row r="22" spans="2:36" ht="15.95" customHeight="1">
      <c r="B22" t="s">
        <v>21</v>
      </c>
      <c r="G22" s="1" t="s">
        <v>58</v>
      </c>
      <c r="H22" s="24">
        <f>H21*(INT(H16/H21)+1)</f>
        <v>300</v>
      </c>
      <c r="I22" s="24">
        <f>I21*(INT(I16/I21)+1)</f>
        <v>200</v>
      </c>
      <c r="J22" s="24">
        <f>J21*(INT(J16/J21)+1)</f>
        <v>1.4000000000000001</v>
      </c>
      <c r="K22" s="14" t="s">
        <v>16</v>
      </c>
      <c r="L22" s="6"/>
      <c r="M22" s="14" t="s">
        <v>17</v>
      </c>
      <c r="N22" s="15"/>
      <c r="O22" s="14" t="s">
        <v>18</v>
      </c>
      <c r="P22" s="18"/>
      <c r="Q22" s="15" t="s">
        <v>19</v>
      </c>
      <c r="R22" s="6"/>
      <c r="S22" s="44">
        <v>4</v>
      </c>
      <c r="T22" s="45">
        <v>0.6</v>
      </c>
      <c r="U22" s="48">
        <v>-0.5</v>
      </c>
      <c r="V22" s="24">
        <f t="shared" si="0"/>
        <v>4</v>
      </c>
      <c r="W22" s="24">
        <f t="shared" si="1"/>
        <v>0.22959183625822566</v>
      </c>
      <c r="X22" s="24">
        <f>H$22+V22*H$21</f>
        <v>700</v>
      </c>
      <c r="Y22" s="24">
        <f t="shared" si="2"/>
        <v>0.27211598935736264</v>
      </c>
      <c r="Z22" s="25">
        <f t="shared" si="3"/>
        <v>-0.62593420575473502</v>
      </c>
      <c r="AA22" s="24">
        <f t="shared" si="4"/>
        <v>3</v>
      </c>
      <c r="AB22" s="24">
        <f t="shared" si="5"/>
        <v>0.29765771839339378</v>
      </c>
      <c r="AC22" s="24">
        <f>I$22+AA22*I$21</f>
        <v>800</v>
      </c>
      <c r="AD22" s="24">
        <f t="shared" si="6"/>
        <v>-0.20267797855703606</v>
      </c>
      <c r="AE22" s="25">
        <f t="shared" si="7"/>
        <v>-0.63958458530334195</v>
      </c>
      <c r="AF22" s="24">
        <f t="shared" si="8"/>
        <v>3</v>
      </c>
      <c r="AG22" s="24">
        <f t="shared" si="9"/>
        <v>0.45787357803201983</v>
      </c>
      <c r="AH22" s="24">
        <f>J$22+AF22*J$21</f>
        <v>2</v>
      </c>
      <c r="AI22" s="24">
        <f t="shared" si="10"/>
        <v>0.77893306543268936</v>
      </c>
      <c r="AJ22" s="25">
        <f t="shared" si="11"/>
        <v>0.43045295811290407</v>
      </c>
    </row>
    <row r="23" spans="2:36" ht="15.95" customHeight="1">
      <c r="B23" s="20"/>
      <c r="D23" t="b">
        <v>0</v>
      </c>
      <c r="G23" s="1" t="s">
        <v>59</v>
      </c>
      <c r="H23" s="24">
        <f>INT((H17+H16-H22)/H21)</f>
        <v>5</v>
      </c>
      <c r="I23" s="24">
        <f>INT((I17+I16-I22)/I21)</f>
        <v>3</v>
      </c>
      <c r="J23" s="24">
        <f>INT((J17+J16-J22)/J21)</f>
        <v>3</v>
      </c>
      <c r="K23" s="44" t="s">
        <v>32</v>
      </c>
      <c r="L23" s="48" t="s">
        <v>33</v>
      </c>
      <c r="M23" s="1"/>
      <c r="O23" s="1"/>
      <c r="P23" s="4"/>
      <c r="R23" s="4"/>
      <c r="S23" s="44">
        <v>4</v>
      </c>
      <c r="T23" s="45">
        <v>0.5</v>
      </c>
      <c r="U23" s="48">
        <v>-0.5</v>
      </c>
      <c r="V23" s="24">
        <f t="shared" si="0"/>
        <v>4</v>
      </c>
      <c r="W23" s="24">
        <f t="shared" si="1"/>
        <v>0.22959183625822566</v>
      </c>
      <c r="X23" s="24"/>
      <c r="Y23" s="24">
        <f t="shared" si="2"/>
        <v>0.20018200932349753</v>
      </c>
      <c r="Z23" s="25">
        <f t="shared" si="3"/>
        <v>-0.60912889877717336</v>
      </c>
      <c r="AA23" s="24">
        <f t="shared" si="4"/>
        <v>3</v>
      </c>
      <c r="AB23" s="24">
        <f t="shared" si="5"/>
        <v>0.29765771839339378</v>
      </c>
      <c r="AC23" s="24"/>
      <c r="AD23" s="24">
        <f t="shared" si="6"/>
        <v>-0.13321214151113636</v>
      </c>
      <c r="AE23" s="25">
        <f t="shared" si="7"/>
        <v>-0.62218218049552065</v>
      </c>
      <c r="AF23" s="24">
        <f t="shared" si="8"/>
        <v>3</v>
      </c>
      <c r="AG23" s="24">
        <f t="shared" si="9"/>
        <v>0.45787357803201983</v>
      </c>
      <c r="AH23" s="24"/>
      <c r="AI23" s="24">
        <f t="shared" si="10"/>
        <v>0.70699908539882428</v>
      </c>
      <c r="AJ23" s="25">
        <f t="shared" si="11"/>
        <v>0.44725826509046579</v>
      </c>
    </row>
    <row r="24" spans="2:36" ht="15.95" customHeight="1">
      <c r="G24" s="1" t="s">
        <v>60</v>
      </c>
      <c r="H24" s="24">
        <f>(H22-H16)/H17-0.5</f>
        <v>-0.42346938780508125</v>
      </c>
      <c r="I24" s="24">
        <f>(I22-I16)/I17-0.5</f>
        <v>-0.379796864520695</v>
      </c>
      <c r="J24" s="24">
        <f>(J22-J16)/J17-0.5</f>
        <v>-0.30808295288804349</v>
      </c>
      <c r="K24" s="40">
        <v>-0.5</v>
      </c>
      <c r="L24" s="41">
        <v>-0.5</v>
      </c>
      <c r="M24" s="37">
        <f>(H$27*$H$13+K24*$I$13+L24*$J$13+$D$27)*$C$27</f>
        <v>-1.2340714939826974E-2</v>
      </c>
      <c r="N24" s="34">
        <f>(H$27*$H$14+K24*$I$14+L24*$J$14+$E$27)*$C$27</f>
        <v>-0.3141093042110833</v>
      </c>
      <c r="O24" s="37">
        <f>(K24*$H$13+I$27*$I$13+L24*$J$13+$D$27)*$C$27</f>
        <v>-1.2340714939826974E-2</v>
      </c>
      <c r="P24" s="34">
        <f>(K24*$H$14+I$27*$I$14+L24*$J$14+$E$27)*$C$27</f>
        <v>-0.3141093042110833</v>
      </c>
      <c r="Q24" s="37">
        <f>(K24*$H$13+L24*$I$13+J$27*$J$13+$D$27)*$C$27</f>
        <v>-1.2340714939826974E-2</v>
      </c>
      <c r="R24" s="34">
        <f>(K24*$H$14+L24*$I$14+J$27*$J$14+$E$27)*$C$27</f>
        <v>-0.3141093042110833</v>
      </c>
      <c r="S24" s="44">
        <v>5</v>
      </c>
      <c r="T24" s="45">
        <v>0.5</v>
      </c>
      <c r="U24" s="48">
        <v>-0.5</v>
      </c>
      <c r="V24" s="24">
        <f t="shared" si="0"/>
        <v>5</v>
      </c>
      <c r="W24" s="24">
        <f t="shared" si="1"/>
        <v>0.39285714227405233</v>
      </c>
      <c r="X24" s="24"/>
      <c r="Y24" s="24">
        <f t="shared" si="2"/>
        <v>8.6768397894053828E-2</v>
      </c>
      <c r="Z24" s="25">
        <f t="shared" si="3"/>
        <v>-0.63754098824077576</v>
      </c>
      <c r="AA24" s="24">
        <f t="shared" si="4"/>
        <v>3</v>
      </c>
      <c r="AB24" s="24">
        <f t="shared" si="5"/>
        <v>0.29765771839339378</v>
      </c>
      <c r="AC24" s="24"/>
      <c r="AD24" s="24">
        <f t="shared" si="6"/>
        <v>-0.13321214151113636</v>
      </c>
      <c r="AE24" s="25">
        <f t="shared" si="7"/>
        <v>-0.62218218049552065</v>
      </c>
      <c r="AF24" s="24">
        <f t="shared" si="8"/>
        <v>3</v>
      </c>
      <c r="AG24" s="24">
        <f t="shared" si="9"/>
        <v>0.45787357803201983</v>
      </c>
      <c r="AH24" s="24"/>
      <c r="AI24" s="24">
        <f t="shared" si="10"/>
        <v>0.70699908539882428</v>
      </c>
      <c r="AJ24" s="25">
        <f t="shared" si="11"/>
        <v>0.44725826509046579</v>
      </c>
    </row>
    <row r="25" spans="2:36" ht="15.95" customHeight="1">
      <c r="C25" s="19" t="s">
        <v>22</v>
      </c>
      <c r="D25" s="5" t="s">
        <v>20</v>
      </c>
      <c r="E25" s="6" t="s">
        <v>21</v>
      </c>
      <c r="G25" s="1" t="s">
        <v>61</v>
      </c>
      <c r="H25" s="24">
        <f>H21/H17</f>
        <v>0.16326530601582673</v>
      </c>
      <c r="I25" s="24">
        <f>I21/I17</f>
        <v>0.22581819430469624</v>
      </c>
      <c r="J25" s="24">
        <f>J21/J17</f>
        <v>0.25531884364002111</v>
      </c>
      <c r="K25" s="40">
        <v>0.5</v>
      </c>
      <c r="L25" s="41">
        <v>-0.5</v>
      </c>
      <c r="M25" s="37">
        <f>(H$27*$H$13+K25*$I$13+L25*$J$13+$D$27)*$C$27</f>
        <v>0.70699908539882406</v>
      </c>
      <c r="N25" s="34">
        <f>(H$27*$H$14+K25*$I$14+L25*$J$14+$E$27)*$C$27</f>
        <v>-0.48216237398670025</v>
      </c>
      <c r="O25" s="37">
        <f>(K25*$H$13+I$27*$I$13+L25*$J$13+$D$27)*$C$27</f>
        <v>-0.70699908539882428</v>
      </c>
      <c r="P25" s="34">
        <f>(K25*$H$14+I$27*$I$14+L25*$J$14+$E$27)*$C$27</f>
        <v>-0.48813335228929622</v>
      </c>
      <c r="Q25" s="37">
        <f>(K25*$H$13+L25*$I$13+J$27*$J$13+$D$27)*$C$27</f>
        <v>-0.70699908539882428</v>
      </c>
      <c r="R25" s="34">
        <f>(K25*$H$14+L25*$I$14+J$27*$J$14+$E$27)*$C$27</f>
        <v>-0.48813335228929622</v>
      </c>
      <c r="S25" s="44">
        <v>5</v>
      </c>
      <c r="T25" s="45">
        <v>0.6</v>
      </c>
      <c r="U25" s="48">
        <v>-0.5</v>
      </c>
      <c r="V25" s="24">
        <f t="shared" si="0"/>
        <v>5</v>
      </c>
      <c r="W25" s="24">
        <f t="shared" si="1"/>
        <v>0.39285714227405233</v>
      </c>
      <c r="X25" s="24">
        <f>H$22+V25*H$21</f>
        <v>800</v>
      </c>
      <c r="Y25" s="24">
        <f t="shared" si="2"/>
        <v>0.15870237792791891</v>
      </c>
      <c r="Z25" s="25">
        <f t="shared" si="3"/>
        <v>-0.65434629521833743</v>
      </c>
      <c r="AA25" s="24">
        <f t="shared" si="4"/>
        <v>3</v>
      </c>
      <c r="AB25" s="24">
        <f t="shared" si="5"/>
        <v>0.29765771839339378</v>
      </c>
      <c r="AC25" s="24">
        <f>I$22+AA25*I$21</f>
        <v>800</v>
      </c>
      <c r="AD25" s="24">
        <f t="shared" si="6"/>
        <v>-0.20267797855703606</v>
      </c>
      <c r="AE25" s="25">
        <f t="shared" si="7"/>
        <v>-0.63958458530334195</v>
      </c>
      <c r="AF25" s="24">
        <f t="shared" si="8"/>
        <v>3</v>
      </c>
      <c r="AG25" s="24">
        <f t="shared" si="9"/>
        <v>0.45787357803201983</v>
      </c>
      <c r="AH25" s="24">
        <f>J$22+AF25*J$21</f>
        <v>2</v>
      </c>
      <c r="AI25" s="24">
        <f t="shared" si="10"/>
        <v>0.77893306543268936</v>
      </c>
      <c r="AJ25" s="25">
        <f t="shared" si="11"/>
        <v>0.43045295811290407</v>
      </c>
    </row>
    <row r="26" spans="2:36" ht="15.95" customHeight="1">
      <c r="C26" s="1">
        <v>0</v>
      </c>
      <c r="D26">
        <v>50</v>
      </c>
      <c r="E26" s="4">
        <v>50</v>
      </c>
      <c r="G26" s="2" t="s">
        <v>26</v>
      </c>
      <c r="H26" s="24"/>
      <c r="I26" s="24"/>
      <c r="J26" s="24"/>
      <c r="K26" s="40">
        <v>0.5</v>
      </c>
      <c r="L26" s="41">
        <v>0.5</v>
      </c>
      <c r="M26" s="37">
        <f>(H$27*$H$13+K26*$I$13+L26*$J$13+$D$27)*$C$27</f>
        <v>0.70699908539882428</v>
      </c>
      <c r="N26" s="34">
        <f>(H$27*$H$14+K26*$I$14+L26*$J$14+$E$27)*$C$27</f>
        <v>0.48813335228929622</v>
      </c>
      <c r="O26" s="37">
        <f>(K26*$H$13+I$27*$I$13+L26*$J$13+$D$27)*$C$27</f>
        <v>-0.70699908539882406</v>
      </c>
      <c r="P26" s="34">
        <f>(K26*$H$14+I$27*$I$14+L26*$J$14+$E$27)*$C$27</f>
        <v>0.48216237398670025</v>
      </c>
      <c r="Q26" s="37">
        <f>(K26*$H$13+L26*$I$13+J$27*$J$13+$D$27)*$C$27</f>
        <v>1.2340714939826853E-2</v>
      </c>
      <c r="R26" s="34">
        <f>(K26*$H$14+L26*$I$14+J$27*$J$14+$E$27)*$C$27</f>
        <v>-0.65618642206491318</v>
      </c>
      <c r="S26" s="44">
        <v>5</v>
      </c>
      <c r="T26" s="45">
        <v>0.5</v>
      </c>
      <c r="U26" s="48">
        <v>-0.5</v>
      </c>
      <c r="V26" s="24">
        <f t="shared" si="0"/>
        <v>5</v>
      </c>
      <c r="W26" s="24">
        <f t="shared" si="1"/>
        <v>0.39285714227405233</v>
      </c>
      <c r="X26" s="24"/>
      <c r="Y26" s="24">
        <f t="shared" si="2"/>
        <v>8.6768397894053828E-2</v>
      </c>
      <c r="Z26" s="25">
        <f t="shared" si="3"/>
        <v>-0.63754098824077576</v>
      </c>
      <c r="AA26" s="24">
        <f t="shared" si="4"/>
        <v>3</v>
      </c>
      <c r="AB26" s="24">
        <f t="shared" si="5"/>
        <v>0.29765771839339378</v>
      </c>
      <c r="AC26" s="24"/>
      <c r="AD26" s="24">
        <f t="shared" si="6"/>
        <v>-0.13321214151113636</v>
      </c>
      <c r="AE26" s="25">
        <f t="shared" si="7"/>
        <v>-0.62218218049552065</v>
      </c>
      <c r="AF26" s="24">
        <f t="shared" si="8"/>
        <v>3</v>
      </c>
      <c r="AG26" s="24">
        <f t="shared" si="9"/>
        <v>0.45787357803201983</v>
      </c>
      <c r="AH26" s="24"/>
      <c r="AI26" s="24">
        <f t="shared" si="10"/>
        <v>0.70699908539882428</v>
      </c>
      <c r="AJ26" s="25">
        <f t="shared" si="11"/>
        <v>0.44725826509046579</v>
      </c>
    </row>
    <row r="27" spans="2:36" ht="15.95" customHeight="1">
      <c r="C27" s="32">
        <f>(1+C26/50)^2</f>
        <v>1</v>
      </c>
      <c r="D27" s="26">
        <f>D26/100-0.5</f>
        <v>0</v>
      </c>
      <c r="E27" s="27">
        <f>-E26/100+0.5</f>
        <v>0</v>
      </c>
      <c r="G27" s="1" t="s">
        <v>15</v>
      </c>
      <c r="H27" s="24">
        <f>C14/100-0.5</f>
        <v>-0.5</v>
      </c>
      <c r="I27" s="24">
        <f>D14/100-0.5</f>
        <v>-0.5</v>
      </c>
      <c r="J27" s="24">
        <f>E14/100-0.5</f>
        <v>-0.5</v>
      </c>
      <c r="K27" s="40">
        <v>-0.5</v>
      </c>
      <c r="L27" s="41">
        <v>0.5</v>
      </c>
      <c r="M27" s="37">
        <f>(H$27*$H$13+K27*$I$13+L27*$J$13+$D$27)*$C$27</f>
        <v>-1.2340714939826853E-2</v>
      </c>
      <c r="N27" s="34">
        <f>(H$27*$H$14+K27*$I$14+L27*$J$14+$E$27)*$C$27</f>
        <v>0.65618642206491318</v>
      </c>
      <c r="O27" s="37">
        <f>(K27*$H$13+I$27*$I$13+L27*$J$13+$D$27)*$C$27</f>
        <v>-1.2340714939826853E-2</v>
      </c>
      <c r="P27" s="34">
        <f>(K27*$H$14+I$27*$I$14+L27*$J$14+$E$27)*$C$27</f>
        <v>0.65618642206491318</v>
      </c>
      <c r="Q27" s="37">
        <f>(K27*$H$13+L27*$I$13+J$27*$J$13+$D$27)*$C$27</f>
        <v>0.70699908539882406</v>
      </c>
      <c r="R27" s="34">
        <f>(K27*$H$14+L27*$I$14+J$27*$J$14+$E$27)*$C$27</f>
        <v>-0.48216237398670025</v>
      </c>
      <c r="S27" s="44">
        <v>6</v>
      </c>
      <c r="T27" s="45">
        <v>0.5</v>
      </c>
      <c r="U27" s="48">
        <v>-0.5</v>
      </c>
      <c r="V27" s="24">
        <f t="shared" si="0"/>
        <v>5</v>
      </c>
      <c r="W27" s="24">
        <f t="shared" si="1"/>
        <v>0.39285714227405233</v>
      </c>
      <c r="X27" s="24"/>
      <c r="Y27" s="24">
        <f t="shared" si="2"/>
        <v>8.6768397894053828E-2</v>
      </c>
      <c r="Z27" s="25">
        <f t="shared" si="3"/>
        <v>-0.63754098824077576</v>
      </c>
      <c r="AA27" s="24">
        <f t="shared" si="4"/>
        <v>3</v>
      </c>
      <c r="AB27" s="24">
        <f t="shared" si="5"/>
        <v>0.29765771839339378</v>
      </c>
      <c r="AC27" s="24"/>
      <c r="AD27" s="24">
        <f t="shared" si="6"/>
        <v>-0.13321214151113636</v>
      </c>
      <c r="AE27" s="25">
        <f t="shared" si="7"/>
        <v>-0.62218218049552065</v>
      </c>
      <c r="AF27" s="24">
        <f t="shared" si="8"/>
        <v>3</v>
      </c>
      <c r="AG27" s="24">
        <f t="shared" si="9"/>
        <v>0.45787357803201983</v>
      </c>
      <c r="AH27" s="24"/>
      <c r="AI27" s="24">
        <f t="shared" si="10"/>
        <v>0.70699908539882428</v>
      </c>
      <c r="AJ27" s="25">
        <f t="shared" si="11"/>
        <v>0.44725826509046579</v>
      </c>
    </row>
    <row r="28" spans="2:36" ht="15.95" customHeight="1">
      <c r="K28" s="42">
        <v>-0.5</v>
      </c>
      <c r="L28" s="43">
        <v>-0.5</v>
      </c>
      <c r="M28" s="37">
        <f>(H$27*$H$13+K28*$I$13+L28*$J$13+$D$27)*$C$27</f>
        <v>-1.2340714939826974E-2</v>
      </c>
      <c r="N28" s="34">
        <f>(H$27*$H$14+K28*$I$14+L28*$J$14+$E$27)*$C$27</f>
        <v>-0.3141093042110833</v>
      </c>
      <c r="O28" s="37">
        <f>(K28*$H$13+I$27*$I$13+L28*$J$13+$D$27)*$C$27</f>
        <v>-1.2340714939826974E-2</v>
      </c>
      <c r="P28" s="34">
        <f>(K28*$H$14+I$27*$I$14+L28*$J$14+$E$27)*$C$27</f>
        <v>-0.3141093042110833</v>
      </c>
      <c r="Q28" s="37">
        <f>(K28*$H$13+L28*$I$13+J$27*$J$13+$D$27)*$C$27</f>
        <v>-1.2340714939826974E-2</v>
      </c>
      <c r="R28" s="34">
        <f>(K28*$H$14+L28*$I$14+J$27*$J$14+$E$27)*$C$27</f>
        <v>-0.3141093042110833</v>
      </c>
      <c r="S28" s="44">
        <v>6</v>
      </c>
      <c r="T28" s="45">
        <v>0.6</v>
      </c>
      <c r="U28" s="48">
        <v>-0.5</v>
      </c>
      <c r="V28" s="24">
        <f t="shared" si="0"/>
        <v>5</v>
      </c>
      <c r="W28" s="24">
        <f t="shared" si="1"/>
        <v>0.39285714227405233</v>
      </c>
      <c r="X28" s="24">
        <f>H$22+V28*H$21</f>
        <v>800</v>
      </c>
      <c r="Y28" s="24">
        <f t="shared" si="2"/>
        <v>0.15870237792791891</v>
      </c>
      <c r="Z28" s="25">
        <f t="shared" si="3"/>
        <v>-0.65434629521833743</v>
      </c>
      <c r="AA28" s="24">
        <f t="shared" si="4"/>
        <v>3</v>
      </c>
      <c r="AB28" s="24">
        <f t="shared" si="5"/>
        <v>0.29765771839339378</v>
      </c>
      <c r="AC28" s="24">
        <f>I$22+AA28*I$21</f>
        <v>800</v>
      </c>
      <c r="AD28" s="24">
        <f t="shared" si="6"/>
        <v>-0.20267797855703606</v>
      </c>
      <c r="AE28" s="25">
        <f t="shared" si="7"/>
        <v>-0.63958458530334195</v>
      </c>
      <c r="AF28" s="24">
        <f t="shared" si="8"/>
        <v>3</v>
      </c>
      <c r="AG28" s="24">
        <f t="shared" si="9"/>
        <v>0.45787357803201983</v>
      </c>
      <c r="AH28" s="24">
        <f>J$22+AF28*J$21</f>
        <v>2</v>
      </c>
      <c r="AI28" s="24">
        <f t="shared" si="10"/>
        <v>0.77893306543268936</v>
      </c>
      <c r="AJ28" s="25">
        <f t="shared" si="11"/>
        <v>0.43045295811290407</v>
      </c>
    </row>
    <row r="29" spans="2:36">
      <c r="M29" s="1"/>
      <c r="O29" s="1"/>
      <c r="P29" s="4"/>
      <c r="R29" s="4"/>
      <c r="S29" s="52">
        <v>6</v>
      </c>
      <c r="T29" s="53">
        <v>0.5</v>
      </c>
      <c r="U29" s="54">
        <v>-0.5</v>
      </c>
      <c r="V29" s="26">
        <f t="shared" si="0"/>
        <v>5</v>
      </c>
      <c r="W29" s="26">
        <f t="shared" si="1"/>
        <v>0.39285714227405233</v>
      </c>
      <c r="X29" s="26"/>
      <c r="Y29" s="26">
        <f t="shared" si="2"/>
        <v>8.6768397894053828E-2</v>
      </c>
      <c r="Z29" s="27">
        <f t="shared" si="3"/>
        <v>-0.63754098824077576</v>
      </c>
      <c r="AA29" s="26">
        <f t="shared" si="4"/>
        <v>3</v>
      </c>
      <c r="AB29" s="26">
        <f t="shared" si="5"/>
        <v>0.29765771839339378</v>
      </c>
      <c r="AC29" s="26"/>
      <c r="AD29" s="26">
        <f t="shared" si="6"/>
        <v>-0.13321214151113636</v>
      </c>
      <c r="AE29" s="27">
        <f t="shared" si="7"/>
        <v>-0.62218218049552065</v>
      </c>
      <c r="AF29" s="26">
        <f t="shared" si="8"/>
        <v>3</v>
      </c>
      <c r="AG29" s="26">
        <f t="shared" si="9"/>
        <v>0.45787357803201983</v>
      </c>
      <c r="AH29" s="26"/>
      <c r="AI29" s="26">
        <f t="shared" si="10"/>
        <v>0.70699908539882428</v>
      </c>
      <c r="AJ29" s="27">
        <f t="shared" si="11"/>
        <v>0.44725826509046579</v>
      </c>
    </row>
    <row r="30" spans="2:36">
      <c r="G30" s="1"/>
      <c r="M30" s="1"/>
      <c r="O30" s="1"/>
      <c r="P30" s="4"/>
      <c r="R30" s="4"/>
    </row>
    <row r="31" spans="2:36">
      <c r="G31" s="1"/>
      <c r="H31" s="2" t="s">
        <v>52</v>
      </c>
      <c r="I31" s="3"/>
      <c r="J31" s="3"/>
      <c r="K31" s="3" t="s">
        <v>53</v>
      </c>
      <c r="L31" s="3"/>
      <c r="M31" s="2" t="s">
        <v>28</v>
      </c>
      <c r="N31" s="3"/>
      <c r="O31" s="2" t="s">
        <v>31</v>
      </c>
      <c r="P31" s="17"/>
      <c r="Q31" s="3" t="s">
        <v>30</v>
      </c>
      <c r="R31" s="4"/>
    </row>
    <row r="32" spans="2:36" ht="18">
      <c r="B32" s="38" t="s">
        <v>34</v>
      </c>
      <c r="C32" s="39" t="s">
        <v>82</v>
      </c>
      <c r="D32" s="39" t="s">
        <v>83</v>
      </c>
      <c r="E32" s="39" t="s">
        <v>84</v>
      </c>
      <c r="F32" s="38" t="s">
        <v>23</v>
      </c>
      <c r="G32" t="s">
        <v>0</v>
      </c>
      <c r="H32" t="s">
        <v>85</v>
      </c>
      <c r="I32" t="s">
        <v>86</v>
      </c>
      <c r="J32" t="s">
        <v>87</v>
      </c>
      <c r="K32" t="s">
        <v>54</v>
      </c>
      <c r="L32" t="s">
        <v>55</v>
      </c>
      <c r="M32" s="7" t="s">
        <v>27</v>
      </c>
      <c r="N32" s="8" t="s">
        <v>29</v>
      </c>
      <c r="O32" s="21" t="s">
        <v>1</v>
      </c>
      <c r="P32" s="22" t="s">
        <v>2</v>
      </c>
      <c r="Q32" s="21" t="s">
        <v>3</v>
      </c>
      <c r="R32" s="22" t="s">
        <v>4</v>
      </c>
    </row>
    <row r="33" spans="2:18">
      <c r="B33" s="13">
        <v>1</v>
      </c>
      <c r="C33" s="75">
        <v>434.37499919999999</v>
      </c>
      <c r="D33" s="75">
        <v>109.99678</v>
      </c>
      <c r="E33" s="75">
        <v>1.6869395249999999</v>
      </c>
      <c r="G33" s="56">
        <f t="shared" ref="G33" si="14">D$19*(L33-R33)</f>
        <v>0.54164079515634067</v>
      </c>
      <c r="H33" s="56">
        <f t="shared" ref="H33:J33" si="15">(C33-H$16)/H$17-0.5</f>
        <v>-0.20408163415243652</v>
      </c>
      <c r="I33" s="55">
        <f t="shared" si="15"/>
        <v>-0.48141868763073659</v>
      </c>
      <c r="J33" s="55">
        <f t="shared" si="15"/>
        <v>5.8222385700040902E-2</v>
      </c>
      <c r="K33" s="56">
        <f t="shared" ref="K33" si="16">(H33*$H$13+I33*$I$13+J33*$J$13+$D$27)*$C$27</f>
        <v>-0.20453660721864866</v>
      </c>
      <c r="L33" s="57">
        <f t="shared" ref="L33" si="17">(H33*$H$14+I33*$I$14+J33*$J$14+$E$27)*$C$27</f>
        <v>0.17291193243566039</v>
      </c>
      <c r="M33" s="56">
        <f t="shared" ref="M33" si="18">(H$27*$H$13+I33*$I$13+J33*$J$13+$D$27)*$C$27</f>
        <v>1.0255625899091641E-3</v>
      </c>
      <c r="N33" s="57">
        <f t="shared" ref="N33" si="19">(H$27*$H$14+I33*$I$14+J33*$J$14+$E$27)*$C$27</f>
        <v>0.22440884436114295</v>
      </c>
      <c r="O33" s="56">
        <f t="shared" ref="O33" si="20">(H33*$H$13+I$27*$I$13+J33*$J$13+$D$27)*$C$27</f>
        <v>-0.21790288474838473</v>
      </c>
      <c r="P33" s="57">
        <f t="shared" ref="P33" si="21">(H33*$H$14+I$27*$I$14+J33*$J$14+$E$27)*$C$27</f>
        <v>0.17603457901977473</v>
      </c>
      <c r="Q33" s="56">
        <f t="shared" ref="Q33" si="22">(H33*$H$13+I33*$I$13+J$27*$J$13+$D$27)*$C$27</f>
        <v>-0.20453660721864872</v>
      </c>
      <c r="R33" s="57">
        <f t="shared" ref="R33" si="23">(H33*$H$14+I33*$I$14+J$27*$J$14+$E$27)*$C$27</f>
        <v>-0.36872886272068023</v>
      </c>
    </row>
    <row r="34" spans="2:18">
      <c r="B34" s="13">
        <v>2</v>
      </c>
      <c r="C34" s="75">
        <v>446.87499840000004</v>
      </c>
      <c r="D34" s="75">
        <v>111.73761</v>
      </c>
      <c r="E34" s="75">
        <v>1.6943697599999998</v>
      </c>
      <c r="G34" s="56">
        <f t="shared" ref="G34:G97" si="24">D$19*(L34-R34)</f>
        <v>0.55084443342653433</v>
      </c>
      <c r="H34" s="56">
        <f t="shared" ref="H34:H97" si="25">(C34-H$16)/H$17-0.5</f>
        <v>-0.18367347220658059</v>
      </c>
      <c r="I34" s="55">
        <f t="shared" ref="I34:I97" si="26">(D34-I$16)/I$17-0.5</f>
        <v>-0.47945313219477936</v>
      </c>
      <c r="J34" s="55">
        <f t="shared" ref="J34:J97" si="27">(E34-J$16)/J$17-0.5</f>
        <v>6.7707780740908885E-2</v>
      </c>
      <c r="K34" s="56">
        <f t="shared" ref="K34:K97" si="28">(H34*$H$13+I34*$I$13+J34*$J$13+$D$27)*$C$27</f>
        <v>-0.21729940548516427</v>
      </c>
      <c r="L34" s="57">
        <f t="shared" ref="L34:L97" si="29">(H34*$H$14+I34*$I$14+J34*$J$14+$E$27)*$C$27</f>
        <v>0.17823374212537374</v>
      </c>
      <c r="M34" s="56">
        <f t="shared" ref="M34:M97" si="30">(H$27*$H$13+I34*$I$13+J34*$J$13+$D$27)*$C$27</f>
        <v>2.4394648447651573E-3</v>
      </c>
      <c r="N34" s="57">
        <f t="shared" ref="N34:N97" si="31">(H$27*$H$14+I34*$I$14+J34*$J$14+$E$27)*$C$27</f>
        <v>0.23328216500650995</v>
      </c>
      <c r="O34" s="56">
        <f t="shared" ref="O34:O97" si="32">(H34*$H$13+I$27*$I$13+J34*$J$13+$D$27)*$C$27</f>
        <v>-0.23207958526975633</v>
      </c>
      <c r="P34" s="57">
        <f t="shared" ref="P34:P97" si="33">(H34*$H$14+I$27*$I$14+J34*$J$14+$E$27)*$C$27</f>
        <v>0.18168670633431488</v>
      </c>
      <c r="Q34" s="56">
        <f t="shared" ref="Q34:Q97" si="34">(H34*$H$13+I34*$I$13+J$27*$J$13+$D$27)*$C$27</f>
        <v>-0.21729940548516433</v>
      </c>
      <c r="R34" s="57">
        <f t="shared" ref="R34:R97" si="35">(H34*$H$14+I34*$I$14+J$27*$J$14+$E$27)*$C$27</f>
        <v>-0.37261069130116059</v>
      </c>
    </row>
    <row r="35" spans="2:18">
      <c r="B35" s="13">
        <v>3</v>
      </c>
      <c r="C35" s="75">
        <v>434.37499919999999</v>
      </c>
      <c r="D35" s="75">
        <v>112.588043</v>
      </c>
      <c r="E35" s="75">
        <v>1.6814424349999999</v>
      </c>
      <c r="G35" s="56">
        <f t="shared" si="24"/>
        <v>0.53483169316983548</v>
      </c>
      <c r="H35" s="56">
        <f t="shared" si="25"/>
        <v>-0.20408163415243652</v>
      </c>
      <c r="I35" s="55">
        <f t="shared" si="26"/>
        <v>-0.47849291597259375</v>
      </c>
      <c r="J35" s="55">
        <f t="shared" si="27"/>
        <v>5.1204832389115218E-2</v>
      </c>
      <c r="K35" s="56">
        <f t="shared" si="28"/>
        <v>-0.20243198321824371</v>
      </c>
      <c r="L35" s="57">
        <f t="shared" si="29"/>
        <v>0.16561114554054182</v>
      </c>
      <c r="M35" s="56">
        <f t="shared" si="30"/>
        <v>3.1301865903141162E-3</v>
      </c>
      <c r="N35" s="57">
        <f t="shared" si="31"/>
        <v>0.21710805746602438</v>
      </c>
      <c r="O35" s="56">
        <f t="shared" si="32"/>
        <v>-0.21790288474838473</v>
      </c>
      <c r="P35" s="57">
        <f t="shared" si="33"/>
        <v>0.16922547703326957</v>
      </c>
      <c r="Q35" s="56">
        <f t="shared" si="34"/>
        <v>-0.20243198321824377</v>
      </c>
      <c r="R35" s="57">
        <f t="shared" si="35"/>
        <v>-0.36922054762929363</v>
      </c>
    </row>
    <row r="36" spans="2:18">
      <c r="B36" s="13">
        <v>4</v>
      </c>
      <c r="C36" s="75">
        <v>303.12500040000003</v>
      </c>
      <c r="D36" s="75">
        <v>96.898574999999994</v>
      </c>
      <c r="E36" s="75">
        <v>1.8719177149999999</v>
      </c>
      <c r="G36" s="56">
        <f t="shared" si="24"/>
        <v>0.77076845378829262</v>
      </c>
      <c r="H36" s="56">
        <f t="shared" si="25"/>
        <v>-0.41836734633902539</v>
      </c>
      <c r="I36" s="55">
        <f t="shared" si="26"/>
        <v>-0.49620775263940031</v>
      </c>
      <c r="J36" s="55">
        <f t="shared" si="27"/>
        <v>0.29436447354716144</v>
      </c>
      <c r="K36" s="56">
        <f t="shared" si="28"/>
        <v>-6.6319606648994625E-2</v>
      </c>
      <c r="L36" s="57">
        <f t="shared" si="29"/>
        <v>0.44181580592146252</v>
      </c>
      <c r="M36" s="56">
        <f t="shared" si="30"/>
        <v>-9.6128004806183189E-3</v>
      </c>
      <c r="N36" s="57">
        <f t="shared" si="31"/>
        <v>0.45602185076691204</v>
      </c>
      <c r="O36" s="56">
        <f t="shared" si="32"/>
        <v>-6.9047521108203183E-2</v>
      </c>
      <c r="P36" s="57">
        <f t="shared" si="33"/>
        <v>0.44245310473175981</v>
      </c>
      <c r="Q36" s="56">
        <f t="shared" si="34"/>
        <v>-6.6319606648994722E-2</v>
      </c>
      <c r="R36" s="57">
        <f t="shared" si="35"/>
        <v>-0.32895264786683009</v>
      </c>
    </row>
    <row r="37" spans="2:18">
      <c r="B37" s="13">
        <v>5</v>
      </c>
      <c r="C37" s="75">
        <v>753.12500040000009</v>
      </c>
      <c r="D37" s="75">
        <v>719.35375999999997</v>
      </c>
      <c r="E37" s="75">
        <v>1.2938184450000001</v>
      </c>
      <c r="G37" s="56">
        <f t="shared" si="24"/>
        <v>5.4691968274294345E-2</v>
      </c>
      <c r="H37" s="56">
        <f t="shared" si="25"/>
        <v>0.31632653073219497</v>
      </c>
      <c r="I37" s="55">
        <f t="shared" si="26"/>
        <v>0.2066007769220779</v>
      </c>
      <c r="J37" s="55">
        <f t="shared" si="27"/>
        <v>-0.44363371208054003</v>
      </c>
      <c r="K37" s="56">
        <f t="shared" si="28"/>
        <v>-7.1122710750436802E-2</v>
      </c>
      <c r="L37" s="57">
        <f t="shared" si="29"/>
        <v>-0.52022421303604027</v>
      </c>
      <c r="M37" s="56">
        <f t="shared" si="30"/>
        <v>0.49594534685043629</v>
      </c>
      <c r="N37" s="57">
        <f t="shared" si="31"/>
        <v>-0.37816376560438003</v>
      </c>
      <c r="O37" s="56">
        <f t="shared" si="32"/>
        <v>-0.5794087725407</v>
      </c>
      <c r="P37" s="57">
        <f t="shared" si="33"/>
        <v>-0.40147778336844919</v>
      </c>
      <c r="Q37" s="56">
        <f t="shared" si="34"/>
        <v>-7.1122710750436802E-2</v>
      </c>
      <c r="R37" s="57">
        <f t="shared" si="35"/>
        <v>-0.57491618131033462</v>
      </c>
    </row>
    <row r="38" spans="2:18">
      <c r="B38" s="13">
        <v>6</v>
      </c>
      <c r="C38" s="75">
        <v>409.37500080000001</v>
      </c>
      <c r="D38" s="75">
        <v>117.854111</v>
      </c>
      <c r="E38" s="75">
        <v>1.6593218999999999</v>
      </c>
      <c r="G38" s="56">
        <f t="shared" si="24"/>
        <v>0.50743156349921792</v>
      </c>
      <c r="H38" s="56">
        <f t="shared" si="25"/>
        <v>-0.24489795804414827</v>
      </c>
      <c r="I38" s="55">
        <f t="shared" si="26"/>
        <v>-0.47254704613836501</v>
      </c>
      <c r="J38" s="55">
        <f t="shared" si="27"/>
        <v>2.296588530462218E-2</v>
      </c>
      <c r="K38" s="56">
        <f t="shared" si="28"/>
        <v>-0.1698014813561069</v>
      </c>
      <c r="L38" s="57">
        <f t="shared" si="29"/>
        <v>0.14431481610310298</v>
      </c>
      <c r="M38" s="56">
        <f t="shared" si="30"/>
        <v>7.4072874097078105E-3</v>
      </c>
      <c r="N38" s="57">
        <f t="shared" si="31"/>
        <v>0.18870870611727841</v>
      </c>
      <c r="O38" s="56">
        <f t="shared" si="32"/>
        <v>-0.18954948370564162</v>
      </c>
      <c r="P38" s="57">
        <f t="shared" si="33"/>
        <v>0.14892836927395914</v>
      </c>
      <c r="Q38" s="56">
        <f t="shared" si="34"/>
        <v>-0.16980148135610695</v>
      </c>
      <c r="R38" s="57">
        <f t="shared" si="35"/>
        <v>-0.36311674739611488</v>
      </c>
    </row>
    <row r="39" spans="2:18">
      <c r="B39" s="13">
        <v>7</v>
      </c>
      <c r="C39" s="75">
        <v>490.62499919999999</v>
      </c>
      <c r="D39" s="75">
        <v>119.376564</v>
      </c>
      <c r="E39" s="75">
        <v>1.674763615</v>
      </c>
      <c r="G39" s="56">
        <f t="shared" si="24"/>
        <v>0.52655881305881147</v>
      </c>
      <c r="H39" s="56">
        <f t="shared" si="25"/>
        <v>-0.112244899518534</v>
      </c>
      <c r="I39" s="55">
        <f t="shared" si="26"/>
        <v>-0.4708280582014962</v>
      </c>
      <c r="J39" s="55">
        <f t="shared" si="27"/>
        <v>4.267868939271624E-2</v>
      </c>
      <c r="K39" s="56">
        <f t="shared" si="28"/>
        <v>-0.2607135023886204</v>
      </c>
      <c r="L39" s="57">
        <f t="shared" si="29"/>
        <v>0.14006836222841509</v>
      </c>
      <c r="M39" s="56">
        <f t="shared" si="30"/>
        <v>8.6438238489995375E-3</v>
      </c>
      <c r="N39" s="57">
        <f t="shared" si="31"/>
        <v>0.20754707447717399</v>
      </c>
      <c r="O39" s="56">
        <f t="shared" si="32"/>
        <v>-0.28169804117744685</v>
      </c>
      <c r="P39" s="57">
        <f t="shared" si="33"/>
        <v>0.14497079659896928</v>
      </c>
      <c r="Q39" s="56">
        <f t="shared" si="34"/>
        <v>-0.26071350238862046</v>
      </c>
      <c r="R39" s="57">
        <f t="shared" si="35"/>
        <v>-0.3864904508303964</v>
      </c>
    </row>
    <row r="40" spans="2:18">
      <c r="B40" s="13">
        <v>8</v>
      </c>
      <c r="C40" s="75">
        <v>365.625</v>
      </c>
      <c r="D40" s="75">
        <v>113.87608299999999</v>
      </c>
      <c r="E40" s="75">
        <v>1.653439415</v>
      </c>
      <c r="G40" s="56">
        <f t="shared" si="24"/>
        <v>0.50014508277958514</v>
      </c>
      <c r="H40" s="56">
        <f t="shared" si="25"/>
        <v>-0.31632653073219497</v>
      </c>
      <c r="I40" s="55">
        <f t="shared" si="26"/>
        <v>-0.47703860163763268</v>
      </c>
      <c r="J40" s="55">
        <f t="shared" si="27"/>
        <v>1.5456338964973448E-2</v>
      </c>
      <c r="K40" s="56">
        <f t="shared" si="28"/>
        <v>-0.12341398008446952</v>
      </c>
      <c r="L40" s="57">
        <f t="shared" si="29"/>
        <v>0.15021344444081253</v>
      </c>
      <c r="M40" s="56">
        <f t="shared" si="30"/>
        <v>4.1763327736546469E-3</v>
      </c>
      <c r="N40" s="57">
        <f t="shared" si="31"/>
        <v>0.18217704508736521</v>
      </c>
      <c r="O40" s="56">
        <f t="shared" si="32"/>
        <v>-0.13993102779795108</v>
      </c>
      <c r="P40" s="57">
        <f t="shared" si="33"/>
        <v>0.15407217792194916</v>
      </c>
      <c r="Q40" s="56">
        <f t="shared" si="34"/>
        <v>-0.12341398008446958</v>
      </c>
      <c r="R40" s="57">
        <f t="shared" si="35"/>
        <v>-0.34993163833877261</v>
      </c>
    </row>
    <row r="41" spans="2:18">
      <c r="B41" s="13">
        <v>9</v>
      </c>
      <c r="C41" s="75">
        <v>703.125</v>
      </c>
      <c r="D41" s="75">
        <v>883.88220200000001</v>
      </c>
      <c r="E41" s="75">
        <v>1.2795678750000001</v>
      </c>
      <c r="G41" s="56">
        <f t="shared" si="24"/>
        <v>3.7040158954121383E-2</v>
      </c>
      <c r="H41" s="56">
        <f t="shared" si="25"/>
        <v>0.23469387707122025</v>
      </c>
      <c r="I41" s="55">
        <f t="shared" si="26"/>
        <v>0.39236835534310266</v>
      </c>
      <c r="J41" s="55">
        <f t="shared" si="27"/>
        <v>-0.46182590734859585</v>
      </c>
      <c r="K41" s="56">
        <f t="shared" si="28"/>
        <v>0.11921410818871422</v>
      </c>
      <c r="L41" s="57">
        <f t="shared" si="29"/>
        <v>-0.55488878932919961</v>
      </c>
      <c r="M41" s="56">
        <f t="shared" si="30"/>
        <v>0.62957535962121092</v>
      </c>
      <c r="N41" s="57">
        <f t="shared" si="31"/>
        <v>-0.42703438674298888</v>
      </c>
      <c r="O41" s="56">
        <f t="shared" si="32"/>
        <v>-0.52270196637232369</v>
      </c>
      <c r="P41" s="57">
        <f t="shared" si="33"/>
        <v>-0.40492354784317258</v>
      </c>
      <c r="Q41" s="56">
        <f t="shared" si="34"/>
        <v>0.11921410818871422</v>
      </c>
      <c r="R41" s="57">
        <f t="shared" si="35"/>
        <v>-0.59192894828332099</v>
      </c>
    </row>
    <row r="42" spans="2:18">
      <c r="B42" s="13">
        <v>10</v>
      </c>
      <c r="C42" s="75">
        <v>684.37500119999993</v>
      </c>
      <c r="D42" s="75">
        <v>893.59863299999995</v>
      </c>
      <c r="E42" s="75">
        <v>1.2771775350000001</v>
      </c>
      <c r="G42" s="56">
        <f t="shared" si="24"/>
        <v>3.4079307150271854E-2</v>
      </c>
      <c r="H42" s="56">
        <f t="shared" si="25"/>
        <v>0.2040816341524363</v>
      </c>
      <c r="I42" s="55">
        <f t="shared" si="26"/>
        <v>0.40333908986063338</v>
      </c>
      <c r="J42" s="55">
        <f t="shared" si="27"/>
        <v>-0.46487740157212837</v>
      </c>
      <c r="K42" s="56">
        <f t="shared" si="28"/>
        <v>0.14837084494818056</v>
      </c>
      <c r="L42" s="57">
        <f t="shared" si="29"/>
        <v>-0.55436604031293313</v>
      </c>
      <c r="M42" s="56">
        <f t="shared" si="30"/>
        <v>0.63746704559861977</v>
      </c>
      <c r="N42" s="57">
        <f t="shared" si="31"/>
        <v>-0.43183890416020276</v>
      </c>
      <c r="O42" s="56">
        <f t="shared" si="32"/>
        <v>-0.50143691559026626</v>
      </c>
      <c r="P42" s="57">
        <f t="shared" si="33"/>
        <v>-0.40255713321354175</v>
      </c>
      <c r="Q42" s="56">
        <f t="shared" si="34"/>
        <v>0.14837084494818056</v>
      </c>
      <c r="R42" s="57">
        <f t="shared" si="35"/>
        <v>-0.58844534746320498</v>
      </c>
    </row>
    <row r="43" spans="2:18">
      <c r="B43" s="13">
        <v>11</v>
      </c>
      <c r="C43" s="75">
        <f>final_solutions[[#This Row],[Obj1]]*(-1)*3.6</f>
        <v>753.12500040000009</v>
      </c>
      <c r="D43" s="75">
        <f>final_solutions[[#This Row],[Obj2]]</f>
        <v>719.35375999999997</v>
      </c>
      <c r="E43" s="75">
        <f>final_solutions[[#This Row],[Obj3]]/200</f>
        <v>1.2938184450000001</v>
      </c>
      <c r="G43" s="56">
        <f t="shared" si="24"/>
        <v>5.4691968274294345E-2</v>
      </c>
      <c r="H43" s="56">
        <f t="shared" si="25"/>
        <v>0.31632653073219497</v>
      </c>
      <c r="I43" s="55">
        <f t="shared" si="26"/>
        <v>0.2066007769220779</v>
      </c>
      <c r="J43" s="55">
        <f t="shared" si="27"/>
        <v>-0.44363371208054003</v>
      </c>
      <c r="K43" s="56">
        <f t="shared" si="28"/>
        <v>-7.1122710750436802E-2</v>
      </c>
      <c r="L43" s="57">
        <f t="shared" si="29"/>
        <v>-0.52022421303604027</v>
      </c>
      <c r="M43" s="56">
        <f t="shared" si="30"/>
        <v>0.49594534685043629</v>
      </c>
      <c r="N43" s="57">
        <f t="shared" si="31"/>
        <v>-0.37816376560438003</v>
      </c>
      <c r="O43" s="56">
        <f t="shared" si="32"/>
        <v>-0.5794087725407</v>
      </c>
      <c r="P43" s="57">
        <f t="shared" si="33"/>
        <v>-0.40147778336844919</v>
      </c>
      <c r="Q43" s="56">
        <f t="shared" si="34"/>
        <v>-7.1122710750436802E-2</v>
      </c>
      <c r="R43" s="57">
        <f t="shared" si="35"/>
        <v>-0.57491618131033462</v>
      </c>
    </row>
    <row r="44" spans="2:18">
      <c r="B44" s="13">
        <v>12</v>
      </c>
      <c r="C44" s="75">
        <f>final_solutions[[#This Row],[Obj1]]*(-1)*3.6</f>
        <v>409.37500080000001</v>
      </c>
      <c r="D44" s="75">
        <f>final_solutions[[#This Row],[Obj2]]</f>
        <v>117.854111</v>
      </c>
      <c r="E44" s="75">
        <f>final_solutions[[#This Row],[Obj3]]/200</f>
        <v>1.6593218999999999</v>
      </c>
      <c r="G44" s="56">
        <f t="shared" si="24"/>
        <v>0.50743156349921792</v>
      </c>
      <c r="H44" s="56">
        <f t="shared" si="25"/>
        <v>-0.24489795804414827</v>
      </c>
      <c r="I44" s="55">
        <f t="shared" si="26"/>
        <v>-0.47254704613836501</v>
      </c>
      <c r="J44" s="55">
        <f t="shared" si="27"/>
        <v>2.296588530462218E-2</v>
      </c>
      <c r="K44" s="56">
        <f t="shared" si="28"/>
        <v>-0.1698014813561069</v>
      </c>
      <c r="L44" s="57">
        <f t="shared" si="29"/>
        <v>0.14431481610310298</v>
      </c>
      <c r="M44" s="56">
        <f t="shared" si="30"/>
        <v>7.4072874097078105E-3</v>
      </c>
      <c r="N44" s="57">
        <f t="shared" si="31"/>
        <v>0.18870870611727841</v>
      </c>
      <c r="O44" s="56">
        <f t="shared" si="32"/>
        <v>-0.18954948370564162</v>
      </c>
      <c r="P44" s="57">
        <f t="shared" si="33"/>
        <v>0.14892836927395914</v>
      </c>
      <c r="Q44" s="56">
        <f t="shared" si="34"/>
        <v>-0.16980148135610695</v>
      </c>
      <c r="R44" s="57">
        <f t="shared" si="35"/>
        <v>-0.36311674739611488</v>
      </c>
    </row>
    <row r="45" spans="2:18">
      <c r="B45" s="13">
        <v>13</v>
      </c>
      <c r="C45" s="75">
        <f>final_solutions[[#This Row],[Obj1]]*(-1)*3.6</f>
        <v>490.62499919999999</v>
      </c>
      <c r="D45" s="75">
        <f>final_solutions[[#This Row],[Obj2]]</f>
        <v>119.376564</v>
      </c>
      <c r="E45" s="75">
        <f>final_solutions[[#This Row],[Obj3]]/200</f>
        <v>1.674763615</v>
      </c>
      <c r="G45" s="56">
        <f t="shared" si="24"/>
        <v>0.52655881305881147</v>
      </c>
      <c r="H45" s="56">
        <f t="shared" si="25"/>
        <v>-0.112244899518534</v>
      </c>
      <c r="I45" s="55">
        <f t="shared" si="26"/>
        <v>-0.4708280582014962</v>
      </c>
      <c r="J45" s="55">
        <f t="shared" si="27"/>
        <v>4.267868939271624E-2</v>
      </c>
      <c r="K45" s="56">
        <f t="shared" si="28"/>
        <v>-0.2607135023886204</v>
      </c>
      <c r="L45" s="57">
        <f t="shared" si="29"/>
        <v>0.14006836222841509</v>
      </c>
      <c r="M45" s="56">
        <f t="shared" si="30"/>
        <v>8.6438238489995375E-3</v>
      </c>
      <c r="N45" s="57">
        <f t="shared" si="31"/>
        <v>0.20754707447717399</v>
      </c>
      <c r="O45" s="56">
        <f t="shared" si="32"/>
        <v>-0.28169804117744685</v>
      </c>
      <c r="P45" s="57">
        <f t="shared" si="33"/>
        <v>0.14497079659896928</v>
      </c>
      <c r="Q45" s="56">
        <f t="shared" si="34"/>
        <v>-0.26071350238862046</v>
      </c>
      <c r="R45" s="57">
        <f t="shared" si="35"/>
        <v>-0.3864904508303964</v>
      </c>
    </row>
    <row r="46" spans="2:18">
      <c r="B46" s="13">
        <v>14</v>
      </c>
      <c r="C46" s="75">
        <f>final_solutions[[#This Row],[Obj1]]*(-1)*3.6</f>
        <v>365.625</v>
      </c>
      <c r="D46" s="75">
        <f>final_solutions[[#This Row],[Obj2]]</f>
        <v>113.87608299999999</v>
      </c>
      <c r="E46" s="75">
        <f>final_solutions[[#This Row],[Obj3]]/200</f>
        <v>1.653439415</v>
      </c>
      <c r="G46" s="56">
        <f t="shared" si="24"/>
        <v>0.50014508277958514</v>
      </c>
      <c r="H46" s="56">
        <f t="shared" si="25"/>
        <v>-0.31632653073219497</v>
      </c>
      <c r="I46" s="55">
        <f t="shared" si="26"/>
        <v>-0.47703860163763268</v>
      </c>
      <c r="J46" s="55">
        <f t="shared" si="27"/>
        <v>1.5456338964973448E-2</v>
      </c>
      <c r="K46" s="56">
        <f t="shared" si="28"/>
        <v>-0.12341398008446952</v>
      </c>
      <c r="L46" s="57">
        <f t="shared" si="29"/>
        <v>0.15021344444081253</v>
      </c>
      <c r="M46" s="56">
        <f t="shared" si="30"/>
        <v>4.1763327736546469E-3</v>
      </c>
      <c r="N46" s="57">
        <f t="shared" si="31"/>
        <v>0.18217704508736521</v>
      </c>
      <c r="O46" s="56">
        <f t="shared" si="32"/>
        <v>-0.13993102779795108</v>
      </c>
      <c r="P46" s="57">
        <f t="shared" si="33"/>
        <v>0.15407217792194916</v>
      </c>
      <c r="Q46" s="56">
        <f t="shared" si="34"/>
        <v>-0.12341398008446958</v>
      </c>
      <c r="R46" s="57">
        <f t="shared" si="35"/>
        <v>-0.34993163833877261</v>
      </c>
    </row>
    <row r="47" spans="2:18">
      <c r="B47" s="13">
        <v>15</v>
      </c>
      <c r="C47" s="75">
        <f>final_solutions[[#This Row],[Obj1]]*(-1)*3.6</f>
        <v>703.125</v>
      </c>
      <c r="D47" s="75">
        <f>final_solutions[[#This Row],[Obj2]]</f>
        <v>883.88220200000001</v>
      </c>
      <c r="E47" s="75">
        <f>final_solutions[[#This Row],[Obj3]]/200</f>
        <v>1.2795678750000001</v>
      </c>
      <c r="G47" s="56">
        <f t="shared" si="24"/>
        <v>3.7040158954121383E-2</v>
      </c>
      <c r="H47" s="56">
        <f t="shared" si="25"/>
        <v>0.23469387707122025</v>
      </c>
      <c r="I47" s="55">
        <f t="shared" si="26"/>
        <v>0.39236835534310266</v>
      </c>
      <c r="J47" s="55">
        <f t="shared" si="27"/>
        <v>-0.46182590734859585</v>
      </c>
      <c r="K47" s="56">
        <f t="shared" si="28"/>
        <v>0.11921410818871422</v>
      </c>
      <c r="L47" s="57">
        <f t="shared" si="29"/>
        <v>-0.55488878932919961</v>
      </c>
      <c r="M47" s="56">
        <f t="shared" si="30"/>
        <v>0.62957535962121092</v>
      </c>
      <c r="N47" s="57">
        <f t="shared" si="31"/>
        <v>-0.42703438674298888</v>
      </c>
      <c r="O47" s="56">
        <f t="shared" si="32"/>
        <v>-0.52270196637232369</v>
      </c>
      <c r="P47" s="57">
        <f t="shared" si="33"/>
        <v>-0.40492354784317258</v>
      </c>
      <c r="Q47" s="56">
        <f t="shared" si="34"/>
        <v>0.11921410818871422</v>
      </c>
      <c r="R47" s="57">
        <f t="shared" si="35"/>
        <v>-0.59192894828332099</v>
      </c>
    </row>
    <row r="48" spans="2:18">
      <c r="B48" s="13">
        <v>16</v>
      </c>
      <c r="C48" s="75">
        <f>final_solutions[[#This Row],[Obj1]]*(-1)*3.6</f>
        <v>684.37500119999993</v>
      </c>
      <c r="D48" s="75">
        <f>final_solutions[[#This Row],[Obj2]]</f>
        <v>893.59863299999995</v>
      </c>
      <c r="E48" s="75">
        <f>final_solutions[[#This Row],[Obj3]]/200</f>
        <v>1.2771775350000001</v>
      </c>
      <c r="G48" s="56">
        <f t="shared" si="24"/>
        <v>3.4079307150271854E-2</v>
      </c>
      <c r="H48" s="56">
        <f t="shared" si="25"/>
        <v>0.2040816341524363</v>
      </c>
      <c r="I48" s="55">
        <f t="shared" si="26"/>
        <v>0.40333908986063338</v>
      </c>
      <c r="J48" s="55">
        <f t="shared" si="27"/>
        <v>-0.46487740157212837</v>
      </c>
      <c r="K48" s="56">
        <f t="shared" si="28"/>
        <v>0.14837084494818056</v>
      </c>
      <c r="L48" s="57">
        <f t="shared" si="29"/>
        <v>-0.55436604031293313</v>
      </c>
      <c r="M48" s="56">
        <f t="shared" si="30"/>
        <v>0.63746704559861977</v>
      </c>
      <c r="N48" s="57">
        <f t="shared" si="31"/>
        <v>-0.43183890416020276</v>
      </c>
      <c r="O48" s="56">
        <f t="shared" si="32"/>
        <v>-0.50143691559026626</v>
      </c>
      <c r="P48" s="57">
        <f t="shared" si="33"/>
        <v>-0.40255713321354175</v>
      </c>
      <c r="Q48" s="56">
        <f t="shared" si="34"/>
        <v>0.14837084494818056</v>
      </c>
      <c r="R48" s="57">
        <f t="shared" si="35"/>
        <v>-0.58844534746320498</v>
      </c>
    </row>
    <row r="49" spans="2:18">
      <c r="B49" s="13">
        <v>17</v>
      </c>
      <c r="C49" s="75">
        <f>final_solutions[[#This Row],[Obj1]]*(-1)*3.6</f>
        <v>790.62500160000002</v>
      </c>
      <c r="D49" s="75">
        <f>final_solutions[[#This Row],[Obj2]]</f>
        <v>459.279449</v>
      </c>
      <c r="E49" s="75">
        <f>final_solutions[[#This Row],[Obj3]]/200</f>
        <v>1.3353635049999999</v>
      </c>
      <c r="G49" s="56">
        <f t="shared" si="24"/>
        <v>0.10615275035635452</v>
      </c>
      <c r="H49" s="56">
        <f t="shared" si="25"/>
        <v>0.37755102244731353</v>
      </c>
      <c r="I49" s="55">
        <f t="shared" si="26"/>
        <v>-8.7046779553212106E-2</v>
      </c>
      <c r="J49" s="55">
        <f t="shared" si="27"/>
        <v>-0.39059752868976383</v>
      </c>
      <c r="K49" s="56">
        <f t="shared" si="28"/>
        <v>-0.32488519104230934</v>
      </c>
      <c r="L49" s="57">
        <f t="shared" si="29"/>
        <v>-0.43006959154599478</v>
      </c>
      <c r="M49" s="56">
        <f t="shared" si="30"/>
        <v>0.2847129722055684</v>
      </c>
      <c r="N49" s="57">
        <f t="shared" si="31"/>
        <v>-0.27735461022453861</v>
      </c>
      <c r="O49" s="56">
        <f t="shared" si="32"/>
        <v>-0.62193887818770466</v>
      </c>
      <c r="P49" s="57">
        <f t="shared" si="33"/>
        <v>-0.360671535176185</v>
      </c>
      <c r="Q49" s="56">
        <f t="shared" si="34"/>
        <v>-0.32488519104230934</v>
      </c>
      <c r="R49" s="57">
        <f t="shared" si="35"/>
        <v>-0.5362223419023493</v>
      </c>
    </row>
    <row r="50" spans="2:18">
      <c r="B50" s="13">
        <v>18</v>
      </c>
      <c r="C50" s="75">
        <f>final_solutions[[#This Row],[Obj1]]*(-1)*3.6</f>
        <v>815.625</v>
      </c>
      <c r="D50" s="75">
        <f>final_solutions[[#This Row],[Obj2]]</f>
        <v>826.97363299999995</v>
      </c>
      <c r="E50" s="75">
        <f>final_solutions[[#This Row],[Obj3]]/200</f>
        <v>1.2934098950000001</v>
      </c>
      <c r="G50" s="56">
        <f t="shared" si="24"/>
        <v>5.4185908046685438E-2</v>
      </c>
      <c r="H50" s="56">
        <f t="shared" si="25"/>
        <v>0.41836734633902528</v>
      </c>
      <c r="I50" s="55">
        <f t="shared" si="26"/>
        <v>0.32811340388288146</v>
      </c>
      <c r="J50" s="55">
        <f t="shared" si="27"/>
        <v>-0.44415526464838562</v>
      </c>
      <c r="K50" s="56">
        <f t="shared" si="28"/>
        <v>-5.4597348623575126E-2</v>
      </c>
      <c r="L50" s="57">
        <f t="shared" si="29"/>
        <v>-0.55890839904201473</v>
      </c>
      <c r="M50" s="56">
        <f t="shared" si="30"/>
        <v>0.58335421566704571</v>
      </c>
      <c r="N50" s="57">
        <f t="shared" si="31"/>
        <v>-0.39909039580925132</v>
      </c>
      <c r="O50" s="56">
        <f t="shared" si="32"/>
        <v>-0.65029227923044775</v>
      </c>
      <c r="P50" s="57">
        <f t="shared" si="33"/>
        <v>-0.41974139939716115</v>
      </c>
      <c r="Q50" s="56">
        <f t="shared" si="34"/>
        <v>-5.4597348623575133E-2</v>
      </c>
      <c r="R50" s="57">
        <f t="shared" si="35"/>
        <v>-0.61309430708870016</v>
      </c>
    </row>
    <row r="51" spans="2:18">
      <c r="B51" s="13">
        <v>19</v>
      </c>
      <c r="C51" s="75">
        <f>final_solutions[[#This Row],[Obj1]]*(-1)*3.6</f>
        <v>646.875</v>
      </c>
      <c r="D51" s="75">
        <f>final_solutions[[#This Row],[Obj2]]</f>
        <v>440.68060300000002</v>
      </c>
      <c r="E51" s="75">
        <f>final_solutions[[#This Row],[Obj3]]/200</f>
        <v>1.32608068</v>
      </c>
      <c r="G51" s="56">
        <f t="shared" si="24"/>
        <v>9.4654357179623061E-2</v>
      </c>
      <c r="H51" s="56">
        <f t="shared" si="25"/>
        <v>0.14285714243731773</v>
      </c>
      <c r="I51" s="55">
        <f t="shared" si="26"/>
        <v>-0.10804656865256768</v>
      </c>
      <c r="J51" s="55">
        <f t="shared" si="27"/>
        <v>-0.40244792941332708</v>
      </c>
      <c r="K51" s="56">
        <f t="shared" si="28"/>
        <v>-0.17695910689575045</v>
      </c>
      <c r="L51" s="57">
        <f t="shared" si="29"/>
        <v>-0.39719652664141714</v>
      </c>
      <c r="M51" s="56">
        <f t="shared" si="30"/>
        <v>0.26960698810768419</v>
      </c>
      <c r="N51" s="57">
        <f t="shared" si="31"/>
        <v>-0.28532392437848275</v>
      </c>
      <c r="O51" s="56">
        <f t="shared" si="32"/>
        <v>-0.45890680994326161</v>
      </c>
      <c r="P51" s="57">
        <f t="shared" si="33"/>
        <v>-0.33132754929439456</v>
      </c>
      <c r="Q51" s="56">
        <f t="shared" si="34"/>
        <v>-0.17695910689575045</v>
      </c>
      <c r="R51" s="57">
        <f t="shared" si="35"/>
        <v>-0.4918508838210402</v>
      </c>
    </row>
    <row r="52" spans="2:18">
      <c r="B52" s="13">
        <v>20</v>
      </c>
      <c r="C52" s="75">
        <f>final_solutions[[#This Row],[Obj1]]*(-1)*3.6</f>
        <v>834.37499880000007</v>
      </c>
      <c r="D52" s="75">
        <f>final_solutions[[#This Row],[Obj2]]</f>
        <v>467.83804300000003</v>
      </c>
      <c r="E52" s="75">
        <f>final_solutions[[#This Row],[Obj3]]/200</f>
        <v>1.32656894</v>
      </c>
      <c r="G52" s="56">
        <f t="shared" si="24"/>
        <v>9.5259152104925582E-2</v>
      </c>
      <c r="H52" s="56">
        <f t="shared" si="25"/>
        <v>0.44897958925780923</v>
      </c>
      <c r="I52" s="55">
        <f t="shared" si="26"/>
        <v>-7.7383348338877E-2</v>
      </c>
      <c r="J52" s="55">
        <f t="shared" si="27"/>
        <v>-0.40182461952034865</v>
      </c>
      <c r="K52" s="56">
        <f t="shared" si="28"/>
        <v>-0.36755235218680382</v>
      </c>
      <c r="L52" s="57">
        <f t="shared" si="29"/>
        <v>-0.45501744742234579</v>
      </c>
      <c r="M52" s="56">
        <f t="shared" si="30"/>
        <v>0.29166426288587449</v>
      </c>
      <c r="N52" s="57">
        <f t="shared" si="31"/>
        <v>-0.28987217775610202</v>
      </c>
      <c r="O52" s="56">
        <f t="shared" si="32"/>
        <v>-0.67155733001250528</v>
      </c>
      <c r="P52" s="57">
        <f t="shared" si="33"/>
        <v>-0.38399542177240148</v>
      </c>
      <c r="Q52" s="56">
        <f t="shared" si="34"/>
        <v>-0.36755235218680382</v>
      </c>
      <c r="R52" s="57">
        <f t="shared" si="35"/>
        <v>-0.55027659952727137</v>
      </c>
    </row>
    <row r="53" spans="2:18">
      <c r="B53" s="13">
        <v>21</v>
      </c>
      <c r="C53" s="75">
        <f>final_solutions[[#This Row],[Obj1]]*(-1)*3.6</f>
        <v>334.37499840000004</v>
      </c>
      <c r="D53" s="75">
        <f>final_solutions[[#This Row],[Obj2]]</f>
        <v>284.266144</v>
      </c>
      <c r="E53" s="75">
        <f>final_solutions[[#This Row],[Obj3]]/200</f>
        <v>1.3936575250000001</v>
      </c>
      <c r="G53" s="56">
        <f t="shared" si="24"/>
        <v>0.17836003227885694</v>
      </c>
      <c r="H53" s="56">
        <f t="shared" si="25"/>
        <v>-0.36734694147438562</v>
      </c>
      <c r="I53" s="55">
        <f t="shared" si="26"/>
        <v>-0.28465272212519743</v>
      </c>
      <c r="J53" s="55">
        <f t="shared" si="27"/>
        <v>-0.31617971980212228</v>
      </c>
      <c r="K53" s="56">
        <f t="shared" si="28"/>
        <v>5.0418595458300255E-2</v>
      </c>
      <c r="L53" s="57">
        <f t="shared" si="29"/>
        <v>-0.19502386528149324</v>
      </c>
      <c r="M53" s="56">
        <f t="shared" si="30"/>
        <v>0.14256715293010555</v>
      </c>
      <c r="N53" s="57">
        <f t="shared" si="31"/>
        <v>-0.17193904304690971</v>
      </c>
      <c r="O53" s="56">
        <f t="shared" si="32"/>
        <v>-0.10448927241163224</v>
      </c>
      <c r="P53" s="57">
        <f t="shared" si="33"/>
        <v>-0.15883409416680988</v>
      </c>
      <c r="Q53" s="56">
        <f t="shared" si="34"/>
        <v>5.0418595458300235E-2</v>
      </c>
      <c r="R53" s="57">
        <f t="shared" si="35"/>
        <v>-0.37338389756035018</v>
      </c>
    </row>
    <row r="54" spans="2:18">
      <c r="B54" s="13">
        <v>22</v>
      </c>
      <c r="C54" s="75">
        <f>final_solutions[[#This Row],[Obj1]]*(-1)*3.6</f>
        <v>278.12499840000004</v>
      </c>
      <c r="D54" s="75">
        <f>final_solutions[[#This Row],[Obj2]]</f>
        <v>96.816254000000001</v>
      </c>
      <c r="E54" s="75">
        <f>final_solutions[[#This Row],[Obj3]]/200</f>
        <v>1.8462763899999999</v>
      </c>
      <c r="G54" s="56">
        <f t="shared" si="24"/>
        <v>0.73900721338762199</v>
      </c>
      <c r="H54" s="56">
        <f t="shared" si="25"/>
        <v>-0.45918367610828814</v>
      </c>
      <c r="I54" s="55">
        <f t="shared" si="26"/>
        <v>-0.4963007005372671</v>
      </c>
      <c r="J54" s="55">
        <f t="shared" si="27"/>
        <v>0.26163090630517161</v>
      </c>
      <c r="K54" s="56">
        <f t="shared" si="28"/>
        <v>-3.803306264565489E-2</v>
      </c>
      <c r="L54" s="57">
        <f t="shared" si="29"/>
        <v>0.41717320863449991</v>
      </c>
      <c r="M54" s="56">
        <f t="shared" si="30"/>
        <v>-9.6796616029116954E-3</v>
      </c>
      <c r="N54" s="57">
        <f t="shared" si="31"/>
        <v>0.4242762305458071</v>
      </c>
      <c r="O54" s="56">
        <f t="shared" si="32"/>
        <v>-4.0694115982570077E-2</v>
      </c>
      <c r="P54" s="57">
        <f t="shared" si="33"/>
        <v>0.41779488726523145</v>
      </c>
      <c r="Q54" s="56">
        <f t="shared" si="34"/>
        <v>-3.8033062645654987E-2</v>
      </c>
      <c r="R54" s="57">
        <f t="shared" si="35"/>
        <v>-0.32183400475312202</v>
      </c>
    </row>
    <row r="55" spans="2:18">
      <c r="B55" s="13">
        <v>23</v>
      </c>
      <c r="C55" s="75">
        <f>final_solutions[[#This Row],[Obj1]]*(-1)*3.6</f>
        <v>265.62499919999999</v>
      </c>
      <c r="D55" s="75">
        <f>final_solutions[[#This Row],[Obj2]]</f>
        <v>94.213013000000004</v>
      </c>
      <c r="E55" s="75">
        <f>final_solutions[[#This Row],[Obj3]]/200</f>
        <v>1.9889224749999999</v>
      </c>
      <c r="G55" s="56">
        <f t="shared" si="24"/>
        <v>0.91569919782678422</v>
      </c>
      <c r="H55" s="56">
        <f t="shared" si="25"/>
        <v>-0.47959183805414413</v>
      </c>
      <c r="I55" s="55">
        <f t="shared" si="26"/>
        <v>-0.49923999644706685</v>
      </c>
      <c r="J55" s="55">
        <f t="shared" si="27"/>
        <v>0.44373207366505241</v>
      </c>
      <c r="K55" s="56">
        <f t="shared" si="28"/>
        <v>-2.597071465717482E-2</v>
      </c>
      <c r="L55" s="57">
        <f t="shared" si="29"/>
        <v>0.59791066172993657</v>
      </c>
      <c r="M55" s="56">
        <f t="shared" si="30"/>
        <v>-1.1794014135803279E-2</v>
      </c>
      <c r="N55" s="57">
        <f t="shared" si="31"/>
        <v>0.6014621726855901</v>
      </c>
      <c r="O55" s="56">
        <f t="shared" si="32"/>
        <v>-2.6517415461198401E-2</v>
      </c>
      <c r="P55" s="57">
        <f t="shared" si="33"/>
        <v>0.59803838266004727</v>
      </c>
      <c r="Q55" s="56">
        <f t="shared" si="34"/>
        <v>-2.5970714657174938E-2</v>
      </c>
      <c r="R55" s="57">
        <f t="shared" si="35"/>
        <v>-0.31778853609684765</v>
      </c>
    </row>
    <row r="56" spans="2:18">
      <c r="B56" s="13">
        <v>24</v>
      </c>
      <c r="C56" s="75">
        <f>final_solutions[[#This Row],[Obj1]]*(-1)*3.6</f>
        <v>496.87499880000007</v>
      </c>
      <c r="D56" s="75">
        <f>final_solutions[[#This Row],[Obj2]]</f>
        <v>119.591446</v>
      </c>
      <c r="E56" s="75">
        <f>final_solutions[[#This Row],[Obj3]]/200</f>
        <v>1.6745060350000001</v>
      </c>
      <c r="G56" s="56">
        <f t="shared" si="24"/>
        <v>0.52623975543201551</v>
      </c>
      <c r="H56" s="56">
        <f t="shared" si="25"/>
        <v>-0.10204081854560593</v>
      </c>
      <c r="I56" s="55">
        <f t="shared" si="26"/>
        <v>-0.47058543687535326</v>
      </c>
      <c r="J56" s="55">
        <f t="shared" si="27"/>
        <v>4.2349864253992231E-2</v>
      </c>
      <c r="K56" s="56">
        <f t="shared" si="28"/>
        <v>-0.26762732547300061</v>
      </c>
      <c r="L56" s="57">
        <f t="shared" si="29"/>
        <v>0.13793277586514091</v>
      </c>
      <c r="M56" s="56">
        <f t="shared" si="30"/>
        <v>8.8183510253051541E-3</v>
      </c>
      <c r="N56" s="57">
        <f t="shared" si="31"/>
        <v>0.20718724359172663</v>
      </c>
      <c r="O56" s="56">
        <f t="shared" si="32"/>
        <v>-0.28878639143813267</v>
      </c>
      <c r="P56" s="57">
        <f t="shared" si="33"/>
        <v>0.14287598349434646</v>
      </c>
      <c r="Q56" s="56">
        <f t="shared" si="34"/>
        <v>-0.26762732547300067</v>
      </c>
      <c r="R56" s="57">
        <f t="shared" si="35"/>
        <v>-0.3883069795668746</v>
      </c>
    </row>
    <row r="57" spans="2:18">
      <c r="B57" s="13">
        <v>25</v>
      </c>
      <c r="C57" s="75">
        <f>final_solutions[[#This Row],[Obj1]]*(-1)*3.6</f>
        <v>490.62499919999999</v>
      </c>
      <c r="D57" s="75">
        <f>final_solutions[[#This Row],[Obj2]]</f>
        <v>120.04289199999999</v>
      </c>
      <c r="E57" s="75">
        <f>final_solutions[[#This Row],[Obj3]]/200</f>
        <v>1.6718243500000001</v>
      </c>
      <c r="G57" s="56">
        <f t="shared" si="24"/>
        <v>0.52291802217666017</v>
      </c>
      <c r="H57" s="56">
        <f t="shared" si="25"/>
        <v>-0.112244899518534</v>
      </c>
      <c r="I57" s="55">
        <f t="shared" si="26"/>
        <v>-0.47007571327262287</v>
      </c>
      <c r="J57" s="55">
        <f t="shared" si="27"/>
        <v>3.8926440687958253E-2</v>
      </c>
      <c r="K57" s="56">
        <f t="shared" si="28"/>
        <v>-0.26017231073769886</v>
      </c>
      <c r="L57" s="57">
        <f t="shared" si="29"/>
        <v>0.13630113747143649</v>
      </c>
      <c r="M57" s="56">
        <f t="shared" si="30"/>
        <v>9.1850154999210728E-3</v>
      </c>
      <c r="N57" s="57">
        <f t="shared" si="31"/>
        <v>0.20377984972019544</v>
      </c>
      <c r="O57" s="56">
        <f t="shared" si="32"/>
        <v>-0.28169804117744685</v>
      </c>
      <c r="P57" s="57">
        <f t="shared" si="33"/>
        <v>0.14133000571681797</v>
      </c>
      <c r="Q57" s="56">
        <f t="shared" si="34"/>
        <v>-0.26017231073769892</v>
      </c>
      <c r="R57" s="57">
        <f t="shared" si="35"/>
        <v>-0.38661688470522371</v>
      </c>
    </row>
    <row r="58" spans="2:18">
      <c r="B58" s="13">
        <v>26</v>
      </c>
      <c r="C58" s="75">
        <f>final_solutions[[#This Row],[Obj1]]*(-1)*3.6</f>
        <v>803.12500080000007</v>
      </c>
      <c r="D58" s="75">
        <f>final_solutions[[#This Row],[Obj2]]</f>
        <v>702.35571300000004</v>
      </c>
      <c r="E58" s="75">
        <f>final_solutions[[#This Row],[Obj3]]/200</f>
        <v>1.300464235</v>
      </c>
      <c r="G58" s="56">
        <f t="shared" si="24"/>
        <v>6.2923934985935293E-2</v>
      </c>
      <c r="H58" s="56">
        <f t="shared" si="25"/>
        <v>0.39795918439316946</v>
      </c>
      <c r="I58" s="55">
        <f t="shared" si="26"/>
        <v>0.18740843552084618</v>
      </c>
      <c r="J58" s="55">
        <f t="shared" si="27"/>
        <v>-0.43514973499116816</v>
      </c>
      <c r="K58" s="56">
        <f t="shared" si="28"/>
        <v>-0.14163533195040631</v>
      </c>
      <c r="L58" s="57">
        <f t="shared" si="29"/>
        <v>-0.52297295928119025</v>
      </c>
      <c r="M58" s="56">
        <f t="shared" si="30"/>
        <v>0.482139531818843</v>
      </c>
      <c r="N58" s="57">
        <f t="shared" si="31"/>
        <v>-0.36670646700408038</v>
      </c>
      <c r="O58" s="56">
        <f t="shared" si="32"/>
        <v>-0.6361155787090762</v>
      </c>
      <c r="P58" s="57">
        <f t="shared" si="33"/>
        <v>-0.40745186150225776</v>
      </c>
      <c r="Q58" s="56">
        <f t="shared" si="34"/>
        <v>-0.14163533195040631</v>
      </c>
      <c r="R58" s="57">
        <f t="shared" si="35"/>
        <v>-0.58589689426712555</v>
      </c>
    </row>
    <row r="59" spans="2:18">
      <c r="B59" s="13">
        <v>27</v>
      </c>
      <c r="C59" s="75">
        <f>final_solutions[[#This Row],[Obj1]]*(-1)*3.6</f>
        <v>271.87499880000001</v>
      </c>
      <c r="D59" s="75">
        <f>final_solutions[[#This Row],[Obj2]]</f>
        <v>101.33755499999999</v>
      </c>
      <c r="E59" s="75">
        <f>final_solutions[[#This Row],[Obj3]]/200</f>
        <v>1.757505275</v>
      </c>
      <c r="G59" s="56">
        <f t="shared" si="24"/>
        <v>0.62904874891082208</v>
      </c>
      <c r="H59" s="56">
        <f t="shared" si="25"/>
        <v>-0.46938775708121616</v>
      </c>
      <c r="I59" s="55">
        <f t="shared" si="26"/>
        <v>-0.49119574039862701</v>
      </c>
      <c r="J59" s="55">
        <f t="shared" si="27"/>
        <v>0.14830621415299505</v>
      </c>
      <c r="K59" s="56">
        <f t="shared" si="28"/>
        <v>-2.7272511378102975E-2</v>
      </c>
      <c r="L59" s="57">
        <f t="shared" si="29"/>
        <v>0.30813259541314619</v>
      </c>
      <c r="M59" s="56">
        <f t="shared" si="30"/>
        <v>-6.0074605960456036E-3</v>
      </c>
      <c r="N59" s="57">
        <f t="shared" si="31"/>
        <v>0.31345986184662655</v>
      </c>
      <c r="O59" s="56">
        <f t="shared" si="32"/>
        <v>-3.3605765721884263E-2</v>
      </c>
      <c r="P59" s="57">
        <f t="shared" si="33"/>
        <v>0.30961217826625842</v>
      </c>
      <c r="Q59" s="56">
        <f t="shared" si="34"/>
        <v>-2.7272511378103055E-2</v>
      </c>
      <c r="R59" s="57">
        <f t="shared" si="35"/>
        <v>-0.32091615349767588</v>
      </c>
    </row>
    <row r="60" spans="2:18">
      <c r="B60" s="13">
        <v>28</v>
      </c>
      <c r="C60" s="75">
        <f>final_solutions[[#This Row],[Obj1]]*(-1)*3.6</f>
        <v>315.62499959999997</v>
      </c>
      <c r="D60" s="75">
        <f>final_solutions[[#This Row],[Obj2]]</f>
        <v>226.29586800000001</v>
      </c>
      <c r="E60" s="75">
        <f>final_solutions[[#This Row],[Obj3]]/200</f>
        <v>1.4499929599999999</v>
      </c>
      <c r="G60" s="56">
        <f t="shared" si="24"/>
        <v>0.24814126605329531</v>
      </c>
      <c r="H60" s="56">
        <f t="shared" si="25"/>
        <v>-0.39795918439316957</v>
      </c>
      <c r="I60" s="55">
        <f t="shared" si="26"/>
        <v>-0.35010643737352176</v>
      </c>
      <c r="J60" s="55">
        <f t="shared" si="27"/>
        <v>-0.24426222920133467</v>
      </c>
      <c r="K60" s="56">
        <f t="shared" si="28"/>
        <v>2.4600183782205156E-2</v>
      </c>
      <c r="L60" s="57">
        <f t="shared" si="29"/>
        <v>-0.10891566729787447</v>
      </c>
      <c r="M60" s="56">
        <f t="shared" si="30"/>
        <v>9.5483690471953014E-2</v>
      </c>
      <c r="N60" s="57">
        <f t="shared" si="31"/>
        <v>-9.1158111496771332E-2</v>
      </c>
      <c r="O60" s="56">
        <f t="shared" si="32"/>
        <v>-8.3224221629574796E-2</v>
      </c>
      <c r="P60" s="57">
        <f t="shared" si="33"/>
        <v>-8.3725593958891092E-2</v>
      </c>
      <c r="Q60" s="56">
        <f t="shared" si="34"/>
        <v>2.4600183782205125E-2</v>
      </c>
      <c r="R60" s="57">
        <f t="shared" si="35"/>
        <v>-0.35705693335116978</v>
      </c>
    </row>
    <row r="61" spans="2:18">
      <c r="B61" s="13">
        <v>29</v>
      </c>
      <c r="C61" s="75">
        <f>final_solutions[[#This Row],[Obj1]]*(-1)*3.6</f>
        <v>471.87500040000003</v>
      </c>
      <c r="D61" s="75">
        <f>final_solutions[[#This Row],[Obj2]]</f>
        <v>123.98024700000001</v>
      </c>
      <c r="E61" s="75">
        <f>final_solutions[[#This Row],[Obj3]]/200</f>
        <v>1.6630759850000001</v>
      </c>
      <c r="G61" s="56">
        <f t="shared" si="24"/>
        <v>0.51208165066006295</v>
      </c>
      <c r="H61" s="56">
        <f t="shared" si="25"/>
        <v>-0.14285714243731779</v>
      </c>
      <c r="I61" s="55">
        <f t="shared" si="26"/>
        <v>-0.46563008129044003</v>
      </c>
      <c r="J61" s="55">
        <f t="shared" si="27"/>
        <v>2.7758328510254171E-2</v>
      </c>
      <c r="K61" s="56">
        <f t="shared" si="28"/>
        <v>-0.23570933993319895</v>
      </c>
      <c r="L61" s="57">
        <f t="shared" si="29"/>
        <v>0.13004493028662117</v>
      </c>
      <c r="M61" s="56">
        <f t="shared" si="30"/>
        <v>1.238293552236364E-2</v>
      </c>
      <c r="N61" s="57">
        <f t="shared" si="31"/>
        <v>0.19219637610189974</v>
      </c>
      <c r="O61" s="56">
        <f t="shared" si="32"/>
        <v>-0.26043299039538947</v>
      </c>
      <c r="P61" s="57">
        <f t="shared" si="33"/>
        <v>0.13582090063370114</v>
      </c>
      <c r="Q61" s="56">
        <f t="shared" si="34"/>
        <v>-0.23570933993319901</v>
      </c>
      <c r="R61" s="57">
        <f t="shared" si="35"/>
        <v>-0.38203672037344183</v>
      </c>
    </row>
    <row r="62" spans="2:18">
      <c r="B62" s="13">
        <v>30</v>
      </c>
      <c r="C62" s="75">
        <f>final_solutions[[#This Row],[Obj1]]*(-1)*3.6</f>
        <v>403.12500120000004</v>
      </c>
      <c r="D62" s="75">
        <f>final_solutions[[#This Row],[Obj2]]</f>
        <v>128.23799099999999</v>
      </c>
      <c r="E62" s="75">
        <f>final_solutions[[#This Row],[Obj3]]/200</f>
        <v>1.5827821</v>
      </c>
      <c r="G62" s="56">
        <f t="shared" si="24"/>
        <v>0.41262370984815838</v>
      </c>
      <c r="H62" s="56">
        <f t="shared" si="25"/>
        <v>-0.25510203901707618</v>
      </c>
      <c r="I62" s="55">
        <f t="shared" si="26"/>
        <v>-0.46082270098098177</v>
      </c>
      <c r="J62" s="55">
        <f t="shared" si="27"/>
        <v>-7.4744380837570179E-2</v>
      </c>
      <c r="K62" s="56">
        <f t="shared" si="28"/>
        <v>-0.15427934299080767</v>
      </c>
      <c r="L62" s="57">
        <f t="shared" si="29"/>
        <v>4.9312405735063181E-2</v>
      </c>
      <c r="M62" s="56">
        <f t="shared" si="30"/>
        <v>1.584107551432128E-2</v>
      </c>
      <c r="N62" s="57">
        <f t="shared" si="31"/>
        <v>9.1930540271411815E-2</v>
      </c>
      <c r="O62" s="56">
        <f t="shared" si="32"/>
        <v>-0.18246113344495588</v>
      </c>
      <c r="P62" s="57">
        <f t="shared" si="33"/>
        <v>5.5896271100726452E-2</v>
      </c>
      <c r="Q62" s="56">
        <f t="shared" si="34"/>
        <v>-0.15427934299080773</v>
      </c>
      <c r="R62" s="57">
        <f t="shared" si="35"/>
        <v>-0.3633113041130952</v>
      </c>
    </row>
    <row r="63" spans="2:18">
      <c r="B63" s="13">
        <v>31</v>
      </c>
      <c r="C63" s="75">
        <f>final_solutions[[#This Row],[Obj1]]*(-1)*3.6</f>
        <v>865.62500040000009</v>
      </c>
      <c r="D63" s="75">
        <f>final_solutions[[#This Row],[Obj2]]</f>
        <v>967.47265600000003</v>
      </c>
      <c r="E63" s="75">
        <f>final_solutions[[#This Row],[Obj3]]/200</f>
        <v>1.2922931550000001</v>
      </c>
      <c r="G63" s="56">
        <f t="shared" si="24"/>
        <v>5.2802631339844197E-2</v>
      </c>
      <c r="H63" s="56">
        <f t="shared" si="25"/>
        <v>0.5</v>
      </c>
      <c r="I63" s="55">
        <f t="shared" si="26"/>
        <v>0.48674958226005149</v>
      </c>
      <c r="J63" s="55">
        <f t="shared" si="27"/>
        <v>-0.4455808884756185</v>
      </c>
      <c r="K63" s="56">
        <f t="shared" si="28"/>
        <v>2.8091620883685673E-3</v>
      </c>
      <c r="L63" s="57">
        <f t="shared" si="29"/>
        <v>-0.60115701734806137</v>
      </c>
      <c r="M63" s="56">
        <f t="shared" si="30"/>
        <v>0.69746753254736582</v>
      </c>
      <c r="N63" s="57">
        <f t="shared" si="31"/>
        <v>-0.42713296926984845</v>
      </c>
      <c r="O63" s="56">
        <f t="shared" si="32"/>
        <v>-0.70699908539882417</v>
      </c>
      <c r="P63" s="57">
        <f t="shared" si="33"/>
        <v>-0.43533072094945202</v>
      </c>
      <c r="Q63" s="56">
        <f t="shared" si="34"/>
        <v>2.8091620883685608E-3</v>
      </c>
      <c r="R63" s="57">
        <f t="shared" si="35"/>
        <v>-0.65395964868790557</v>
      </c>
    </row>
    <row r="64" spans="2:18">
      <c r="B64" s="13">
        <v>32</v>
      </c>
      <c r="C64" s="75">
        <f>final_solutions[[#This Row],[Obj1]]*(-1)*3.6</f>
        <v>315.62499959999997</v>
      </c>
      <c r="D64" s="75">
        <f>final_solutions[[#This Row],[Obj2]]</f>
        <v>153.186172</v>
      </c>
      <c r="E64" s="75">
        <f>final_solutions[[#This Row],[Obj3]]/200</f>
        <v>1.56568241</v>
      </c>
      <c r="G64" s="56">
        <f t="shared" si="24"/>
        <v>0.39144276990582144</v>
      </c>
      <c r="H64" s="56">
        <f t="shared" si="25"/>
        <v>-0.39795918439316957</v>
      </c>
      <c r="I64" s="55">
        <f t="shared" si="26"/>
        <v>-0.43265393505794814</v>
      </c>
      <c r="J64" s="55">
        <f t="shared" si="27"/>
        <v>-9.6573746224584311E-2</v>
      </c>
      <c r="K64" s="56">
        <f t="shared" si="28"/>
        <v>-3.4779516720565354E-2</v>
      </c>
      <c r="L64" s="57">
        <f t="shared" si="29"/>
        <v>4.8258196942815121E-2</v>
      </c>
      <c r="M64" s="56">
        <f t="shared" si="30"/>
        <v>3.6103989969182501E-2</v>
      </c>
      <c r="N64" s="57">
        <f t="shared" si="31"/>
        <v>6.6015752743918257E-2</v>
      </c>
      <c r="O64" s="56">
        <f t="shared" si="32"/>
        <v>-8.3224221629574782E-2</v>
      </c>
      <c r="P64" s="57">
        <f t="shared" si="33"/>
        <v>5.9575909893635023E-2</v>
      </c>
      <c r="Q64" s="56">
        <f t="shared" si="34"/>
        <v>-3.4779516720565402E-2</v>
      </c>
      <c r="R64" s="57">
        <f t="shared" si="35"/>
        <v>-0.34318457296300631</v>
      </c>
    </row>
    <row r="65" spans="2:18">
      <c r="B65" s="13">
        <v>33</v>
      </c>
      <c r="C65" s="75">
        <f>final_solutions[[#This Row],[Obj1]]*(-1)*3.6</f>
        <v>678.12500160000002</v>
      </c>
      <c r="D65" s="75">
        <f>final_solutions[[#This Row],[Obj2]]</f>
        <v>620.93524200000002</v>
      </c>
      <c r="E65" s="75">
        <f>final_solutions[[#This Row],[Obj3]]/200</f>
        <v>1.3003968499999998</v>
      </c>
      <c r="G65" s="56">
        <f t="shared" si="24"/>
        <v>6.2840466944233064E-2</v>
      </c>
      <c r="H65" s="56">
        <f t="shared" si="25"/>
        <v>0.1938775531795085</v>
      </c>
      <c r="I65" s="55">
        <f t="shared" si="26"/>
        <v>9.5477316817556668E-2</v>
      </c>
      <c r="J65" s="55">
        <f t="shared" si="27"/>
        <v>-0.43523575829256173</v>
      </c>
      <c r="K65" s="56">
        <f t="shared" si="28"/>
        <v>-6.5998031143843658E-2</v>
      </c>
      <c r="L65" s="57">
        <f t="shared" si="29"/>
        <v>-0.47209200901469184</v>
      </c>
      <c r="M65" s="56">
        <f t="shared" si="30"/>
        <v>0.41600981924590991</v>
      </c>
      <c r="N65" s="57">
        <f t="shared" si="31"/>
        <v>-0.3513406283397883</v>
      </c>
      <c r="O65" s="56">
        <f t="shared" si="32"/>
        <v>-0.49434856532958055</v>
      </c>
      <c r="P65" s="57">
        <f t="shared" si="33"/>
        <v>-0.37202021794175383</v>
      </c>
      <c r="Q65" s="56">
        <f t="shared" si="34"/>
        <v>-6.5998031143843658E-2</v>
      </c>
      <c r="R65" s="57">
        <f t="shared" si="35"/>
        <v>-0.5349324759589249</v>
      </c>
    </row>
    <row r="66" spans="2:18">
      <c r="B66" s="13">
        <v>34</v>
      </c>
      <c r="C66" s="75">
        <f>final_solutions[[#This Row],[Obj1]]*(-1)*3.6</f>
        <v>378.12499919999999</v>
      </c>
      <c r="D66" s="75">
        <f>final_solutions[[#This Row],[Obj2]]</f>
        <v>281.01171900000003</v>
      </c>
      <c r="E66" s="75">
        <f>final_solutions[[#This Row],[Obj3]]/200</f>
        <v>1.4312242900000001</v>
      </c>
      <c r="G66" s="56">
        <f t="shared" si="24"/>
        <v>0.22489300412179025</v>
      </c>
      <c r="H66" s="56">
        <f t="shared" si="25"/>
        <v>-0.29591836878633904</v>
      </c>
      <c r="I66" s="55">
        <f t="shared" si="26"/>
        <v>-0.2883272640101977</v>
      </c>
      <c r="J66" s="55">
        <f t="shared" si="27"/>
        <v>-0.26822220480664016</v>
      </c>
      <c r="K66" s="56">
        <f t="shared" si="28"/>
        <v>-1.8431046752823196E-3</v>
      </c>
      <c r="L66" s="57">
        <f t="shared" si="29"/>
        <v>-0.16030366476238928</v>
      </c>
      <c r="M66" s="56">
        <f t="shared" si="30"/>
        <v>0.13992390870421345</v>
      </c>
      <c r="N66" s="57">
        <f t="shared" si="31"/>
        <v>-0.12478855316018303</v>
      </c>
      <c r="O66" s="56">
        <f t="shared" si="32"/>
        <v>-0.15410772831932271</v>
      </c>
      <c r="P66" s="57">
        <f t="shared" si="33"/>
        <v>-0.12473141169149929</v>
      </c>
      <c r="Q66" s="56">
        <f t="shared" si="34"/>
        <v>-1.8431046752823478E-3</v>
      </c>
      <c r="R66" s="57">
        <f t="shared" si="35"/>
        <v>-0.38519666888417953</v>
      </c>
    </row>
    <row r="67" spans="2:18">
      <c r="B67" s="13">
        <v>35</v>
      </c>
      <c r="C67" s="75">
        <f>final_solutions[[#This Row],[Obj1]]*(-1)*3.6</f>
        <v>465.62500080000007</v>
      </c>
      <c r="D67" s="75">
        <f>final_solutions[[#This Row],[Obj2]]</f>
        <v>131.40602100000001</v>
      </c>
      <c r="E67" s="75">
        <f>final_solutions[[#This Row],[Obj3]]/200</f>
        <v>1.6414730049999999</v>
      </c>
      <c r="G67" s="56">
        <f t="shared" si="24"/>
        <v>0.48532260286706147</v>
      </c>
      <c r="H67" s="56">
        <f t="shared" si="25"/>
        <v>-0.15306122341024569</v>
      </c>
      <c r="I67" s="55">
        <f t="shared" si="26"/>
        <v>-0.45724570691046623</v>
      </c>
      <c r="J67" s="55">
        <f t="shared" si="27"/>
        <v>1.8008914636147288E-4</v>
      </c>
      <c r="K67" s="56">
        <f t="shared" si="28"/>
        <v>-0.22258977548005837</v>
      </c>
      <c r="L67" s="57">
        <f t="shared" si="29"/>
        <v>0.10365261811874381</v>
      </c>
      <c r="M67" s="56">
        <f t="shared" si="30"/>
        <v>1.8414149714818473E-2</v>
      </c>
      <c r="N67" s="57">
        <f t="shared" si="31"/>
        <v>0.16402830845619559</v>
      </c>
      <c r="O67" s="56">
        <f t="shared" si="32"/>
        <v>-0.25334464013470376</v>
      </c>
      <c r="P67" s="57">
        <f t="shared" si="33"/>
        <v>0.1108376083185264</v>
      </c>
      <c r="Q67" s="56">
        <f t="shared" si="34"/>
        <v>-0.22258977548005843</v>
      </c>
      <c r="R67" s="57">
        <f t="shared" si="35"/>
        <v>-0.38166998474831765</v>
      </c>
    </row>
    <row r="68" spans="2:18">
      <c r="B68" s="13">
        <v>36</v>
      </c>
      <c r="C68" s="75">
        <f>final_solutions[[#This Row],[Obj1]]*(-1)*3.6</f>
        <v>765.62499960000002</v>
      </c>
      <c r="D68" s="75">
        <f>final_solutions[[#This Row],[Obj2]]</f>
        <v>686.23974599999997</v>
      </c>
      <c r="E68" s="75">
        <f>final_solutions[[#This Row],[Obj3]]/200</f>
        <v>1.2966963549999999</v>
      </c>
      <c r="G68" s="56">
        <f t="shared" si="24"/>
        <v>5.8256760318445178E-2</v>
      </c>
      <c r="H68" s="56">
        <f t="shared" si="25"/>
        <v>0.33673469267805078</v>
      </c>
      <c r="I68" s="55">
        <f t="shared" si="26"/>
        <v>0.16921204268377565</v>
      </c>
      <c r="J68" s="55">
        <f t="shared" si="27"/>
        <v>-0.43995978881404002</v>
      </c>
      <c r="K68" s="56">
        <f t="shared" si="28"/>
        <v>-0.11219461589370358</v>
      </c>
      <c r="L68" s="57">
        <f t="shared" si="29"/>
        <v>-0.51392764038377159</v>
      </c>
      <c r="M68" s="56">
        <f t="shared" si="30"/>
        <v>0.46905014222854108</v>
      </c>
      <c r="N68" s="57">
        <f t="shared" si="31"/>
        <v>-0.36831568199645776</v>
      </c>
      <c r="O68" s="56">
        <f t="shared" si="32"/>
        <v>-0.59358547306207154</v>
      </c>
      <c r="P68" s="57">
        <f t="shared" si="33"/>
        <v>-0.4014645022799519</v>
      </c>
      <c r="Q68" s="56">
        <f t="shared" si="34"/>
        <v>-0.11219461589370358</v>
      </c>
      <c r="R68" s="57">
        <f t="shared" si="35"/>
        <v>-0.57218440070221677</v>
      </c>
    </row>
    <row r="69" spans="2:18">
      <c r="B69" s="13">
        <v>37</v>
      </c>
      <c r="C69" s="75">
        <f>final_solutions[[#This Row],[Obj1]]*(-1)*3.6</f>
        <v>421.875</v>
      </c>
      <c r="D69" s="75">
        <f>final_solutions[[#This Row],[Obj2]]</f>
        <v>134.451233</v>
      </c>
      <c r="E69" s="75">
        <f>final_solutions[[#This Row],[Obj3]]/200</f>
        <v>1.6340775049999998</v>
      </c>
      <c r="G69" s="56">
        <f t="shared" si="24"/>
        <v>0.47616198993527403</v>
      </c>
      <c r="H69" s="56">
        <f t="shared" si="25"/>
        <v>-0.22448979609829239</v>
      </c>
      <c r="I69" s="55">
        <f t="shared" si="26"/>
        <v>-0.45380738553489131</v>
      </c>
      <c r="J69" s="55">
        <f t="shared" si="27"/>
        <v>-9.2609633943375735E-3</v>
      </c>
      <c r="K69" s="56">
        <f t="shared" si="28"/>
        <v>-0.17049799816056163</v>
      </c>
      <c r="L69" s="57">
        <f t="shared" si="29"/>
        <v>0.10634447409253865</v>
      </c>
      <c r="M69" s="56">
        <f t="shared" si="30"/>
        <v>2.0887471126624646E-2</v>
      </c>
      <c r="N69" s="57">
        <f t="shared" si="31"/>
        <v>0.15428987506236763</v>
      </c>
      <c r="O69" s="56">
        <f t="shared" si="32"/>
        <v>-0.20372618422701319</v>
      </c>
      <c r="P69" s="57">
        <f t="shared" si="33"/>
        <v>0.11410728475436174</v>
      </c>
      <c r="Q69" s="56">
        <f t="shared" si="34"/>
        <v>-0.17049799816056169</v>
      </c>
      <c r="R69" s="57">
        <f t="shared" si="35"/>
        <v>-0.36981751584273537</v>
      </c>
    </row>
    <row r="70" spans="2:18">
      <c r="B70" s="13">
        <v>38</v>
      </c>
      <c r="C70" s="75">
        <f>final_solutions[[#This Row],[Obj1]]*(-1)*3.6</f>
        <v>809.37500040000009</v>
      </c>
      <c r="D70" s="75">
        <f>final_solutions[[#This Row],[Obj2]]</f>
        <v>946.59020999999996</v>
      </c>
      <c r="E70" s="75">
        <f>final_solutions[[#This Row],[Obj3]]/200</f>
        <v>1.27060251</v>
      </c>
      <c r="G70" s="56">
        <f t="shared" si="24"/>
        <v>2.5934995198162558E-2</v>
      </c>
      <c r="H70" s="56">
        <f t="shared" si="25"/>
        <v>0.40816326536609748</v>
      </c>
      <c r="I70" s="55">
        <f t="shared" si="26"/>
        <v>0.46317140101812482</v>
      </c>
      <c r="J70" s="55">
        <f t="shared" si="27"/>
        <v>-0.47327104047164958</v>
      </c>
      <c r="K70" s="56">
        <f t="shared" si="28"/>
        <v>4.9643594330514573E-2</v>
      </c>
      <c r="L70" s="57">
        <f t="shared" si="29"/>
        <v>-0.60808046742903499</v>
      </c>
      <c r="M70" s="56">
        <f t="shared" si="30"/>
        <v>0.68050680836044963</v>
      </c>
      <c r="N70" s="57">
        <f t="shared" si="31"/>
        <v>-0.45003821967409846</v>
      </c>
      <c r="O70" s="56">
        <f t="shared" si="32"/>
        <v>-0.6432039289697622</v>
      </c>
      <c r="P70" s="57">
        <f t="shared" si="33"/>
        <v>-0.44621655676785738</v>
      </c>
      <c r="Q70" s="56">
        <f t="shared" si="34"/>
        <v>4.9643594330514566E-2</v>
      </c>
      <c r="R70" s="57">
        <f t="shared" si="35"/>
        <v>-0.63401546262719755</v>
      </c>
    </row>
    <row r="71" spans="2:18">
      <c r="B71" s="13">
        <v>39</v>
      </c>
      <c r="C71" s="75">
        <f>final_solutions[[#This Row],[Obj1]]*(-1)*3.6</f>
        <v>621.87500160000002</v>
      </c>
      <c r="D71" s="75">
        <f>final_solutions[[#This Row],[Obj2]]</f>
        <v>451.35864299999997</v>
      </c>
      <c r="E71" s="75">
        <f>final_solutions[[#This Row],[Obj3]]/200</f>
        <v>1.3242107599999999</v>
      </c>
      <c r="G71" s="56">
        <f t="shared" si="24"/>
        <v>9.2338136054153808E-2</v>
      </c>
      <c r="H71" s="56">
        <f t="shared" si="25"/>
        <v>0.10204081854560598</v>
      </c>
      <c r="I71" s="55">
        <f t="shared" si="26"/>
        <v>-9.5990090095001146E-2</v>
      </c>
      <c r="J71" s="55">
        <f t="shared" si="27"/>
        <v>-0.40483505847382389</v>
      </c>
      <c r="K71" s="56">
        <f t="shared" si="28"/>
        <v>-0.13993300097462019</v>
      </c>
      <c r="L71" s="57">
        <f t="shared" si="29"/>
        <v>-0.39443585408786219</v>
      </c>
      <c r="M71" s="56">
        <f t="shared" si="30"/>
        <v>0.2782796929860713</v>
      </c>
      <c r="N71" s="57">
        <f t="shared" si="31"/>
        <v>-0.28966627373623499</v>
      </c>
      <c r="O71" s="56">
        <f t="shared" si="32"/>
        <v>-0.43055340890051846</v>
      </c>
      <c r="P71" s="57">
        <f t="shared" si="33"/>
        <v>-0.32654074850855669</v>
      </c>
      <c r="Q71" s="56">
        <f t="shared" si="34"/>
        <v>-0.13993300097462019</v>
      </c>
      <c r="R71" s="57">
        <f t="shared" si="35"/>
        <v>-0.486773990142016</v>
      </c>
    </row>
    <row r="72" spans="2:18">
      <c r="B72" s="13">
        <v>40</v>
      </c>
      <c r="C72" s="75">
        <f>final_solutions[[#This Row],[Obj1]]*(-1)*3.6</f>
        <v>528.12500040000009</v>
      </c>
      <c r="D72" s="75">
        <f>final_solutions[[#This Row],[Obj2]]</f>
        <v>134.58441199999999</v>
      </c>
      <c r="E72" s="75">
        <f>final_solutions[[#This Row],[Obj3]]/200</f>
        <v>1.6463401150000001</v>
      </c>
      <c r="G72" s="56">
        <f t="shared" si="24"/>
        <v>0.49135136506115679</v>
      </c>
      <c r="H72" s="56">
        <f t="shared" si="25"/>
        <v>-5.1020407803415158E-2</v>
      </c>
      <c r="I72" s="55">
        <f t="shared" si="26"/>
        <v>-0.45365701432839478</v>
      </c>
      <c r="J72" s="55">
        <f t="shared" si="27"/>
        <v>6.3934136317055357E-3</v>
      </c>
      <c r="K72" s="56">
        <f t="shared" si="28"/>
        <v>-0.29089179276434218</v>
      </c>
      <c r="L72" s="57">
        <f t="shared" si="29"/>
        <v>9.1320733706837923E-2</v>
      </c>
      <c r="M72" s="56">
        <f t="shared" si="30"/>
        <v>2.0995639120282572E-2</v>
      </c>
      <c r="N72" s="57">
        <f t="shared" si="31"/>
        <v>0.16945397984539282</v>
      </c>
      <c r="O72" s="56">
        <f t="shared" si="32"/>
        <v>-0.32422814682445167</v>
      </c>
      <c r="P72" s="57">
        <f t="shared" si="33"/>
        <v>9.9108814711518611E-2</v>
      </c>
      <c r="Q72" s="56">
        <f t="shared" si="34"/>
        <v>-0.29089179276434224</v>
      </c>
      <c r="R72" s="57">
        <f t="shared" si="35"/>
        <v>-0.40003063135431888</v>
      </c>
    </row>
    <row r="73" spans="2:18">
      <c r="B73" s="13">
        <v>41</v>
      </c>
      <c r="C73" s="75">
        <f>final_solutions[[#This Row],[Obj1]]*(-1)*3.6</f>
        <v>846.87500160000002</v>
      </c>
      <c r="D73" s="75">
        <f>final_solutions[[#This Row],[Obj2]]</f>
        <v>588.97857699999997</v>
      </c>
      <c r="E73" s="75">
        <f>final_solutions[[#This Row],[Obj3]]/200</f>
        <v>1.3106403549999999</v>
      </c>
      <c r="G73" s="56">
        <f t="shared" si="24"/>
        <v>7.5528829376770079E-2</v>
      </c>
      <c r="H73" s="56">
        <f t="shared" si="25"/>
        <v>0.46938775708121605</v>
      </c>
      <c r="I73" s="55">
        <f t="shared" si="26"/>
        <v>5.9395334886056195E-2</v>
      </c>
      <c r="J73" s="55">
        <f t="shared" si="27"/>
        <v>-0.4221589590354578</v>
      </c>
      <c r="K73" s="56">
        <f t="shared" si="28"/>
        <v>-0.28333870610945827</v>
      </c>
      <c r="L73" s="57">
        <f t="shared" si="29"/>
        <v>-0.50128535972480681</v>
      </c>
      <c r="M73" s="56">
        <f t="shared" si="30"/>
        <v>0.39005461356748156</v>
      </c>
      <c r="N73" s="57">
        <f t="shared" si="31"/>
        <v>-0.33258857808007425</v>
      </c>
      <c r="O73" s="56">
        <f t="shared" si="32"/>
        <v>-0.68573403461676674</v>
      </c>
      <c r="P73" s="57">
        <f t="shared" si="33"/>
        <v>-0.40727725647904578</v>
      </c>
      <c r="Q73" s="56">
        <f t="shared" si="34"/>
        <v>-0.28333870610945827</v>
      </c>
      <c r="R73" s="57">
        <f t="shared" si="35"/>
        <v>-0.57681418910157689</v>
      </c>
    </row>
    <row r="74" spans="2:18">
      <c r="B74" s="13">
        <v>42</v>
      </c>
      <c r="C74" s="75">
        <f>final_solutions[[#This Row],[Obj1]]*(-1)*3.6</f>
        <v>503.12499840000004</v>
      </c>
      <c r="D74" s="75">
        <f>final_solutions[[#This Row],[Obj2]]</f>
        <v>137.32513399999999</v>
      </c>
      <c r="E74" s="75">
        <f>final_solutions[[#This Row],[Obj3]]/200</f>
        <v>1.6386041850000002</v>
      </c>
      <c r="G74" s="56">
        <f t="shared" si="24"/>
        <v>0.48176907036878985</v>
      </c>
      <c r="H74" s="56">
        <f t="shared" si="25"/>
        <v>-9.1836737572678073E-2</v>
      </c>
      <c r="I74" s="55">
        <f t="shared" si="26"/>
        <v>-0.450562489862739</v>
      </c>
      <c r="J74" s="55">
        <f t="shared" si="27"/>
        <v>-3.4822298786950645E-3</v>
      </c>
      <c r="K74" s="56">
        <f t="shared" si="28"/>
        <v>-0.26031237302744104</v>
      </c>
      <c r="L74" s="57">
        <f t="shared" si="29"/>
        <v>8.8321417612664141E-2</v>
      </c>
      <c r="M74" s="56">
        <f t="shared" si="30"/>
        <v>2.322165373155044E-2</v>
      </c>
      <c r="N74" s="57">
        <f t="shared" si="31"/>
        <v>0.15935164081707662</v>
      </c>
      <c r="O74" s="56">
        <f t="shared" si="32"/>
        <v>-0.29587474169881844</v>
      </c>
      <c r="P74" s="57">
        <f t="shared" si="33"/>
        <v>9.662954295329404E-2</v>
      </c>
      <c r="Q74" s="56">
        <f t="shared" si="34"/>
        <v>-0.26031237302744109</v>
      </c>
      <c r="R74" s="57">
        <f t="shared" si="35"/>
        <v>-0.3934476527561257</v>
      </c>
    </row>
    <row r="75" spans="2:18">
      <c r="B75" s="13">
        <v>43</v>
      </c>
      <c r="C75" s="75">
        <f>final_solutions[[#This Row],[Obj1]]*(-1)*3.6</f>
        <v>340.62500160000002</v>
      </c>
      <c r="D75" s="75">
        <f>final_solutions[[#This Row],[Obj2]]</f>
        <v>97.850059999999999</v>
      </c>
      <c r="E75" s="75">
        <f>final_solutions[[#This Row],[Obj3]]/200</f>
        <v>1.817694535</v>
      </c>
      <c r="G75" s="56">
        <f t="shared" si="24"/>
        <v>0.70360361518229875</v>
      </c>
      <c r="H75" s="56">
        <f t="shared" si="25"/>
        <v>-0.35714285462390671</v>
      </c>
      <c r="I75" s="55">
        <f t="shared" si="26"/>
        <v>-0.4951334395163603</v>
      </c>
      <c r="J75" s="55">
        <f t="shared" si="27"/>
        <v>0.22514347546673796</v>
      </c>
      <c r="K75" s="56">
        <f t="shared" si="28"/>
        <v>-0.10807691610857054</v>
      </c>
      <c r="L75" s="57">
        <f t="shared" si="29"/>
        <v>0.36381589180744556</v>
      </c>
      <c r="M75" s="56">
        <f t="shared" si="30"/>
        <v>-8.8400042931895129E-3</v>
      </c>
      <c r="N75" s="57">
        <f t="shared" si="31"/>
        <v>0.38867647054269105</v>
      </c>
      <c r="O75" s="56">
        <f t="shared" si="32"/>
        <v>-0.11157762675520791</v>
      </c>
      <c r="P75" s="57">
        <f t="shared" si="33"/>
        <v>0.36463373223596995</v>
      </c>
      <c r="Q75" s="56">
        <f t="shared" si="34"/>
        <v>-0.10807691610857062</v>
      </c>
      <c r="R75" s="57">
        <f t="shared" si="35"/>
        <v>-0.33978772337485319</v>
      </c>
    </row>
    <row r="76" spans="2:18">
      <c r="B76" s="13">
        <v>44</v>
      </c>
      <c r="C76" s="75">
        <f>final_solutions[[#This Row],[Obj1]]*(-1)*3.6</f>
        <v>253.125</v>
      </c>
      <c r="D76" s="75">
        <f>final_solutions[[#This Row],[Obj2]]</f>
        <v>94.463813999999999</v>
      </c>
      <c r="E76" s="75">
        <f>final_solutions[[#This Row],[Obj3]]/200</f>
        <v>1.9145005900000001</v>
      </c>
      <c r="G76" s="56">
        <f t="shared" si="24"/>
        <v>0.8235147502385235</v>
      </c>
      <c r="H76" s="56">
        <f t="shared" si="25"/>
        <v>-0.5</v>
      </c>
      <c r="I76" s="55">
        <f t="shared" si="26"/>
        <v>-0.49895681930231778</v>
      </c>
      <c r="J76" s="55">
        <f t="shared" si="27"/>
        <v>0.34872552556649949</v>
      </c>
      <c r="K76" s="56">
        <f t="shared" si="28"/>
        <v>-1.1590313545038989E-2</v>
      </c>
      <c r="L76" s="57">
        <f t="shared" si="29"/>
        <v>0.50923013630886405</v>
      </c>
      <c r="M76" s="56">
        <f t="shared" si="30"/>
        <v>-1.1590313545038989E-2</v>
      </c>
      <c r="N76" s="57">
        <f t="shared" si="31"/>
        <v>0.50923013630886405</v>
      </c>
      <c r="O76" s="56">
        <f t="shared" si="32"/>
        <v>-1.234071493982687E-2</v>
      </c>
      <c r="P76" s="57">
        <f t="shared" si="33"/>
        <v>0.5094054460274402</v>
      </c>
      <c r="Q76" s="56">
        <f t="shared" si="34"/>
        <v>-1.1590313545039093E-2</v>
      </c>
      <c r="R76" s="57">
        <f t="shared" si="35"/>
        <v>-0.31428461392965945</v>
      </c>
    </row>
    <row r="77" spans="2:18">
      <c r="B77" s="13">
        <v>45</v>
      </c>
      <c r="C77" s="75">
        <f>final_solutions[[#This Row],[Obj1]]*(-1)*3.6</f>
        <v>671.87499839999998</v>
      </c>
      <c r="D77" s="75">
        <f>final_solutions[[#This Row],[Obj2]]</f>
        <v>680.75439500000005</v>
      </c>
      <c r="E77" s="75">
        <f>final_solutions[[#This Row],[Obj3]]/200</f>
        <v>1.2947668250000002</v>
      </c>
      <c r="G77" s="56">
        <f t="shared" si="24"/>
        <v>5.5866701840956434E-2</v>
      </c>
      <c r="H77" s="56">
        <f t="shared" si="25"/>
        <v>0.18367346632902948</v>
      </c>
      <c r="I77" s="55">
        <f t="shared" si="26"/>
        <v>0.16301858239403844</v>
      </c>
      <c r="J77" s="55">
        <f t="shared" si="27"/>
        <v>-0.44242301565588332</v>
      </c>
      <c r="K77" s="56">
        <f t="shared" si="28"/>
        <v>-1.0324556305861625E-2</v>
      </c>
      <c r="L77" s="57">
        <f t="shared" si="29"/>
        <v>-0.4886405346339644</v>
      </c>
      <c r="M77" s="56">
        <f t="shared" si="30"/>
        <v>0.46459493974031613</v>
      </c>
      <c r="N77" s="57">
        <f t="shared" si="31"/>
        <v>-0.36966491045972288</v>
      </c>
      <c r="O77" s="56">
        <f t="shared" si="32"/>
        <v>-0.48726021098600475</v>
      </c>
      <c r="P77" s="57">
        <f t="shared" si="33"/>
        <v>-0.37721822654436843</v>
      </c>
      <c r="Q77" s="56">
        <f t="shared" si="34"/>
        <v>-1.0324556305861632E-2</v>
      </c>
      <c r="R77" s="57">
        <f t="shared" si="35"/>
        <v>-0.54450723647492083</v>
      </c>
    </row>
    <row r="78" spans="2:18">
      <c r="B78" s="13">
        <v>46</v>
      </c>
      <c r="C78" s="75">
        <f>final_solutions[[#This Row],[Obj1]]*(-1)*3.6</f>
        <v>778.12499880000007</v>
      </c>
      <c r="D78" s="75">
        <f>final_solutions[[#This Row],[Obj2]]</f>
        <v>531.24761999999998</v>
      </c>
      <c r="E78" s="75">
        <f>final_solutions[[#This Row],[Obj3]]/200</f>
        <v>1.3171696399999999</v>
      </c>
      <c r="G78" s="56">
        <f t="shared" si="24"/>
        <v>8.3616484384048173E-2</v>
      </c>
      <c r="H78" s="56">
        <f t="shared" si="25"/>
        <v>0.35714285462390671</v>
      </c>
      <c r="I78" s="55">
        <f t="shared" si="26"/>
        <v>-5.788167440054115E-3</v>
      </c>
      <c r="J78" s="55">
        <f t="shared" si="27"/>
        <v>-0.41382371155547704</v>
      </c>
      <c r="K78" s="56">
        <f t="shared" si="28"/>
        <v>-0.25225593262477286</v>
      </c>
      <c r="L78" s="57">
        <f t="shared" si="29"/>
        <v>-0.46271010475113467</v>
      </c>
      <c r="M78" s="56">
        <f t="shared" si="30"/>
        <v>0.34316552601884337</v>
      </c>
      <c r="N78" s="57">
        <f t="shared" si="31"/>
        <v>-0.31354663540816724</v>
      </c>
      <c r="O78" s="56">
        <f t="shared" si="32"/>
        <v>-0.60776217358344309</v>
      </c>
      <c r="P78" s="57">
        <f t="shared" si="33"/>
        <v>-0.37965628917000255</v>
      </c>
      <c r="Q78" s="56">
        <f t="shared" si="34"/>
        <v>-0.25225593262477286</v>
      </c>
      <c r="R78" s="57">
        <f t="shared" si="35"/>
        <v>-0.54632658913518284</v>
      </c>
    </row>
    <row r="79" spans="2:18">
      <c r="B79" s="13">
        <v>47</v>
      </c>
      <c r="C79" s="75">
        <f>final_solutions[[#This Row],[Obj1]]*(-1)*3.6</f>
        <v>265.62499919999999</v>
      </c>
      <c r="D79" s="75">
        <f>final_solutions[[#This Row],[Obj2]]</f>
        <v>93.539901999999998</v>
      </c>
      <c r="E79" s="75">
        <f>final_solutions[[#This Row],[Obj3]]/200</f>
        <v>2.0329990699999998</v>
      </c>
      <c r="G79" s="56">
        <f t="shared" si="24"/>
        <v>0.97029572627599636</v>
      </c>
      <c r="H79" s="56">
        <f t="shared" si="25"/>
        <v>-0.47959183805414413</v>
      </c>
      <c r="I79" s="55">
        <f t="shared" si="26"/>
        <v>-0.5</v>
      </c>
      <c r="J79" s="55">
        <f t="shared" si="27"/>
        <v>0.5</v>
      </c>
      <c r="K79" s="56">
        <f t="shared" si="28"/>
        <v>-2.6517415461198394E-2</v>
      </c>
      <c r="L79" s="57">
        <f t="shared" si="29"/>
        <v>0.65263491110925953</v>
      </c>
      <c r="M79" s="56">
        <f t="shared" si="30"/>
        <v>-1.2340714939826853E-2</v>
      </c>
      <c r="N79" s="57">
        <f t="shared" si="31"/>
        <v>0.65618642206491318</v>
      </c>
      <c r="O79" s="56">
        <f t="shared" si="32"/>
        <v>-2.6517415461198394E-2</v>
      </c>
      <c r="P79" s="57">
        <f t="shared" si="33"/>
        <v>0.65263491110925953</v>
      </c>
      <c r="Q79" s="56">
        <f t="shared" si="34"/>
        <v>-2.6517415461198519E-2</v>
      </c>
      <c r="R79" s="57">
        <f t="shared" si="35"/>
        <v>-0.31766081516673689</v>
      </c>
    </row>
    <row r="80" spans="2:18">
      <c r="B80" s="13">
        <v>48</v>
      </c>
      <c r="C80" s="75">
        <f>final_solutions[[#This Row],[Obj1]]*(-1)*3.6</f>
        <v>790.62500160000002</v>
      </c>
      <c r="D80" s="75">
        <f>final_solutions[[#This Row],[Obj2]]</f>
        <v>137.94639599999999</v>
      </c>
      <c r="E80" s="75">
        <f>final_solutions[[#This Row],[Obj3]]/200</f>
        <v>1.6657862449999998</v>
      </c>
      <c r="G80" s="56">
        <f t="shared" si="24"/>
        <v>0.51543877902251367</v>
      </c>
      <c r="H80" s="56">
        <f t="shared" si="25"/>
        <v>0.37755102244731353</v>
      </c>
      <c r="I80" s="55">
        <f t="shared" si="26"/>
        <v>-0.44986102854758836</v>
      </c>
      <c r="J80" s="55">
        <f t="shared" si="27"/>
        <v>3.1218230756072884E-2</v>
      </c>
      <c r="K80" s="56">
        <f t="shared" si="28"/>
        <v>-0.58587192047394154</v>
      </c>
      <c r="L80" s="57">
        <f t="shared" si="29"/>
        <v>4.0188485422004344E-2</v>
      </c>
      <c r="M80" s="56">
        <f t="shared" si="30"/>
        <v>2.3726242773936205E-2</v>
      </c>
      <c r="N80" s="57">
        <f t="shared" si="31"/>
        <v>0.19290346674346054</v>
      </c>
      <c r="O80" s="56">
        <f t="shared" si="32"/>
        <v>-0.62193887818770466</v>
      </c>
      <c r="P80" s="57">
        <f t="shared" si="33"/>
        <v>4.8614493489974139E-2</v>
      </c>
      <c r="Q80" s="56">
        <f t="shared" si="34"/>
        <v>-0.58587192047394165</v>
      </c>
      <c r="R80" s="57">
        <f t="shared" si="35"/>
        <v>-0.4752502936005093</v>
      </c>
    </row>
    <row r="81" spans="2:18">
      <c r="B81" s="13">
        <v>49</v>
      </c>
      <c r="C81" s="75">
        <f>final_solutions[[#This Row],[Obj1]]*(-1)*3.6</f>
        <v>534.375</v>
      </c>
      <c r="D81" s="75">
        <f>final_solutions[[#This Row],[Obj2]]</f>
        <v>140.92605599999999</v>
      </c>
      <c r="E81" s="75">
        <f>final_solutions[[#This Row],[Obj3]]/200</f>
        <v>1.64371047</v>
      </c>
      <c r="G81" s="56">
        <f t="shared" si="24"/>
        <v>0.4880940923962917</v>
      </c>
      <c r="H81" s="56">
        <f t="shared" si="25"/>
        <v>-4.0816326830487359E-2</v>
      </c>
      <c r="I81" s="55">
        <f t="shared" si="26"/>
        <v>-0.4464967213433787</v>
      </c>
      <c r="J81" s="55">
        <f t="shared" si="27"/>
        <v>3.0364240287866773E-3</v>
      </c>
      <c r="K81" s="56">
        <f t="shared" si="28"/>
        <v>-0.29282945929882015</v>
      </c>
      <c r="L81" s="57">
        <f t="shared" si="29"/>
        <v>8.5084396347521254E-2</v>
      </c>
      <c r="M81" s="56">
        <f t="shared" si="30"/>
        <v>2.6146322846490266E-2</v>
      </c>
      <c r="N81" s="57">
        <f t="shared" si="31"/>
        <v>0.16499339796390294</v>
      </c>
      <c r="O81" s="56">
        <f t="shared" si="32"/>
        <v>-0.33131649708513733</v>
      </c>
      <c r="P81" s="57">
        <f t="shared" si="33"/>
        <v>9.4075786568826716E-2</v>
      </c>
      <c r="Q81" s="56">
        <f t="shared" si="34"/>
        <v>-0.2928294592988202</v>
      </c>
      <c r="R81" s="57">
        <f t="shared" si="35"/>
        <v>-0.40300969604877046</v>
      </c>
    </row>
    <row r="82" spans="2:18">
      <c r="B82" s="13">
        <v>50</v>
      </c>
      <c r="C82" s="75">
        <f>final_solutions[[#This Row],[Obj1]]*(-1)*3.6</f>
        <v>553.12499880000007</v>
      </c>
      <c r="D82" s="75">
        <f>final_solutions[[#This Row],[Obj2]]</f>
        <v>144.589935</v>
      </c>
      <c r="E82" s="75">
        <f>final_solutions[[#This Row],[Obj3]]/200</f>
        <v>1.6360667449999999</v>
      </c>
      <c r="G82" s="56">
        <f t="shared" si="24"/>
        <v>0.47862600963217483</v>
      </c>
      <c r="H82" s="56">
        <f t="shared" si="25"/>
        <v>-1.020408391170341E-2</v>
      </c>
      <c r="I82" s="55">
        <f t="shared" si="26"/>
        <v>-0.44235986864372423</v>
      </c>
      <c r="J82" s="55">
        <f t="shared" si="27"/>
        <v>-6.7215111117250315E-3</v>
      </c>
      <c r="K82" s="56">
        <f t="shared" si="28"/>
        <v>-0.3111187072858777</v>
      </c>
      <c r="L82" s="57">
        <f t="shared" si="29"/>
        <v>6.9593836354537517E-2</v>
      </c>
      <c r="M82" s="56">
        <f t="shared" si="30"/>
        <v>2.9122125641490137E-2</v>
      </c>
      <c r="N82" s="57">
        <f t="shared" si="31"/>
        <v>0.15483010440439957</v>
      </c>
      <c r="O82" s="56">
        <f t="shared" si="32"/>
        <v>-0.35258154786719476</v>
      </c>
      <c r="P82" s="57">
        <f t="shared" si="33"/>
        <v>7.9280437371229459E-2</v>
      </c>
      <c r="Q82" s="56">
        <f t="shared" si="34"/>
        <v>-0.31111870728587776</v>
      </c>
      <c r="R82" s="57">
        <f t="shared" si="35"/>
        <v>-0.4090321732776373</v>
      </c>
    </row>
    <row r="83" spans="2:18">
      <c r="B83" s="13">
        <v>51</v>
      </c>
      <c r="C83" s="75">
        <f>final_solutions[[#This Row],[Obj1]]*(-1)*3.6</f>
        <v>628.12500119999993</v>
      </c>
      <c r="D83" s="75">
        <f>final_solutions[[#This Row],[Obj2]]</f>
        <v>961.19628899999998</v>
      </c>
      <c r="E83" s="75">
        <f>final_solutions[[#This Row],[Obj3]]/200</f>
        <v>1.2496648000000001</v>
      </c>
      <c r="G83" s="56">
        <f t="shared" si="24"/>
        <v>0</v>
      </c>
      <c r="H83" s="56">
        <f t="shared" si="25"/>
        <v>0.11224489951853378</v>
      </c>
      <c r="I83" s="55">
        <f t="shared" si="26"/>
        <v>0.47966299294638348</v>
      </c>
      <c r="J83" s="55">
        <f t="shared" si="27"/>
        <v>-0.5</v>
      </c>
      <c r="K83" s="56">
        <f t="shared" si="28"/>
        <v>0.26706882258401271</v>
      </c>
      <c r="L83" s="57">
        <f t="shared" si="29"/>
        <v>-0.5852900133507456</v>
      </c>
      <c r="M83" s="56">
        <f t="shared" si="30"/>
        <v>0.69236986680538981</v>
      </c>
      <c r="N83" s="57">
        <f t="shared" si="31"/>
        <v>-0.47874467752129163</v>
      </c>
      <c r="O83" s="56">
        <f t="shared" si="32"/>
        <v>-0.43764175916120412</v>
      </c>
      <c r="P83" s="57">
        <f t="shared" si="33"/>
        <v>-0.42065464004053726</v>
      </c>
      <c r="Q83" s="56">
        <f t="shared" si="34"/>
        <v>0.26706882258401271</v>
      </c>
      <c r="R83" s="57">
        <f t="shared" si="35"/>
        <v>-0.5852900133507456</v>
      </c>
    </row>
    <row r="84" spans="2:18">
      <c r="B84" s="13">
        <v>52</v>
      </c>
      <c r="C84" s="75">
        <f>final_solutions[[#This Row],[Obj1]]*(-1)*3.6</f>
        <v>740.62500119999993</v>
      </c>
      <c r="D84" s="75">
        <f>final_solutions[[#This Row],[Obj2]]</f>
        <v>154.49865700000001</v>
      </c>
      <c r="E84" s="75">
        <f>final_solutions[[#This Row],[Obj3]]/200</f>
        <v>1.651187835</v>
      </c>
      <c r="G84" s="56">
        <f t="shared" si="24"/>
        <v>0.49735610936805741</v>
      </c>
      <c r="H84" s="56">
        <f t="shared" si="25"/>
        <v>0.29591836878633881</v>
      </c>
      <c r="I84" s="55">
        <f t="shared" si="26"/>
        <v>-0.43117202009418809</v>
      </c>
      <c r="J84" s="55">
        <f t="shared" si="27"/>
        <v>1.2581984955158498E-2</v>
      </c>
      <c r="K84" s="56">
        <f t="shared" si="28"/>
        <v>-0.51572136669616886</v>
      </c>
      <c r="L84" s="57">
        <f t="shared" si="29"/>
        <v>3.317111537134132E-2</v>
      </c>
      <c r="M84" s="56">
        <f t="shared" si="30"/>
        <v>3.7169990383332518E-2</v>
      </c>
      <c r="N84" s="57">
        <f t="shared" si="31"/>
        <v>0.17168005184734794</v>
      </c>
      <c r="O84" s="56">
        <f t="shared" si="32"/>
        <v>-0.56523207201932824</v>
      </c>
      <c r="P84" s="57">
        <f t="shared" si="33"/>
        <v>4.4737868680967491E-2</v>
      </c>
      <c r="Q84" s="56">
        <f t="shared" si="34"/>
        <v>-0.51572136669616897</v>
      </c>
      <c r="R84" s="57">
        <f t="shared" si="35"/>
        <v>-0.46418499399671609</v>
      </c>
    </row>
    <row r="85" spans="2:18">
      <c r="B85" s="13">
        <v>53</v>
      </c>
      <c r="C85" s="75">
        <f>final_solutions[[#This Row],[Obj1]]*(-1)*3.6</f>
        <v>746.87500080000007</v>
      </c>
      <c r="D85" s="75">
        <f>final_solutions[[#This Row],[Obj2]]</f>
        <v>156.924103</v>
      </c>
      <c r="E85" s="75">
        <f>final_solutions[[#This Row],[Obj3]]/200</f>
        <v>1.6513064399999999</v>
      </c>
      <c r="G85" s="56">
        <f t="shared" si="24"/>
        <v>0.4975030222876401</v>
      </c>
      <c r="H85" s="56">
        <f t="shared" si="25"/>
        <v>0.30612244975926695</v>
      </c>
      <c r="I85" s="55">
        <f t="shared" si="26"/>
        <v>-0.4284334709136704</v>
      </c>
      <c r="J85" s="55">
        <f t="shared" si="27"/>
        <v>1.2733395412408033E-2</v>
      </c>
      <c r="K85" s="56">
        <f t="shared" si="28"/>
        <v>-0.52083976953612354</v>
      </c>
      <c r="L85" s="57">
        <f t="shared" si="29"/>
        <v>3.1082051216579712E-2</v>
      </c>
      <c r="M85" s="56">
        <f t="shared" si="30"/>
        <v>3.9139937804063663E-2</v>
      </c>
      <c r="N85" s="57">
        <f t="shared" si="31"/>
        <v>0.17136674317041314</v>
      </c>
      <c r="O85" s="56">
        <f t="shared" si="32"/>
        <v>-0.57232042228001423</v>
      </c>
      <c r="P85" s="57">
        <f t="shared" si="33"/>
        <v>4.3109026122723382E-2</v>
      </c>
      <c r="Q85" s="56">
        <f t="shared" si="34"/>
        <v>-0.52083976953612365</v>
      </c>
      <c r="R85" s="57">
        <f t="shared" si="35"/>
        <v>-0.4664209710710604</v>
      </c>
    </row>
    <row r="86" spans="2:18">
      <c r="B86" s="13">
        <v>54</v>
      </c>
      <c r="C86" s="75">
        <f>final_solutions[[#This Row],[Obj1]]*(-1)*3.6</f>
        <v>303.12500040000003</v>
      </c>
      <c r="D86" s="75">
        <f>final_solutions[[#This Row],[Obj2]]</f>
        <v>131.99374399999999</v>
      </c>
      <c r="E86" s="75">
        <f>final_solutions[[#This Row],[Obj3]]/200</f>
        <v>1.5552602150000001</v>
      </c>
      <c r="G86" s="56">
        <f t="shared" si="24"/>
        <v>0.37853306883157256</v>
      </c>
      <c r="H86" s="56">
        <f t="shared" si="25"/>
        <v>-0.41836734633902539</v>
      </c>
      <c r="I86" s="55">
        <f t="shared" si="26"/>
        <v>-0.45658211417740957</v>
      </c>
      <c r="J86" s="55">
        <f t="shared" si="27"/>
        <v>-0.10987866010253822</v>
      </c>
      <c r="K86" s="56">
        <f t="shared" si="28"/>
        <v>-3.7815307789454702E-2</v>
      </c>
      <c r="L86" s="57">
        <f t="shared" si="29"/>
        <v>4.2921210779386154E-2</v>
      </c>
      <c r="M86" s="56">
        <f t="shared" si="30"/>
        <v>1.8891498378921609E-2</v>
      </c>
      <c r="N86" s="57">
        <f t="shared" si="31"/>
        <v>5.7127255624835699E-2</v>
      </c>
      <c r="O86" s="56">
        <f t="shared" si="32"/>
        <v>-6.9047521108203239E-2</v>
      </c>
      <c r="P86" s="57">
        <f t="shared" si="33"/>
        <v>5.0217719775039721E-2</v>
      </c>
      <c r="Q86" s="56">
        <f t="shared" si="34"/>
        <v>-3.7815307789454751E-2</v>
      </c>
      <c r="R86" s="57">
        <f t="shared" si="35"/>
        <v>-0.33561185805218641</v>
      </c>
    </row>
    <row r="87" spans="2:18">
      <c r="B87" s="13">
        <v>55</v>
      </c>
      <c r="C87" s="75">
        <f>final_solutions[[#This Row],[Obj1]]*(-1)*3.6</f>
        <v>821.87499960000002</v>
      </c>
      <c r="D87" s="75">
        <f>final_solutions[[#This Row],[Obj2]]</f>
        <v>172.303741</v>
      </c>
      <c r="E87" s="75">
        <f>final_solutions[[#This Row],[Obj3]]/200</f>
        <v>1.68238417</v>
      </c>
      <c r="G87" s="56">
        <f t="shared" si="24"/>
        <v>0.53599819574833818</v>
      </c>
      <c r="H87" s="56">
        <f t="shared" si="25"/>
        <v>0.4285714273119533</v>
      </c>
      <c r="I87" s="55">
        <f t="shared" si="26"/>
        <v>-0.41106846050257095</v>
      </c>
      <c r="J87" s="55">
        <f t="shared" si="27"/>
        <v>5.2407045845191957E-2</v>
      </c>
      <c r="K87" s="56">
        <f t="shared" si="28"/>
        <v>-0.59340863362524421</v>
      </c>
      <c r="L87" s="57">
        <f t="shared" si="29"/>
        <v>4.5349914614250267E-2</v>
      </c>
      <c r="M87" s="56">
        <f t="shared" si="30"/>
        <v>5.1631280926062569E-2</v>
      </c>
      <c r="N87" s="57">
        <f t="shared" si="31"/>
        <v>0.20694367332484043</v>
      </c>
      <c r="O87" s="56">
        <f t="shared" si="32"/>
        <v>-0.65738062949113363</v>
      </c>
      <c r="P87" s="57">
        <f t="shared" si="33"/>
        <v>6.0295132826664752E-2</v>
      </c>
      <c r="Q87" s="56">
        <f t="shared" si="34"/>
        <v>-0.59340863362524432</v>
      </c>
      <c r="R87" s="57">
        <f t="shared" si="35"/>
        <v>-0.49064828113408793</v>
      </c>
    </row>
    <row r="88" spans="2:18">
      <c r="B88" s="13">
        <v>56</v>
      </c>
      <c r="C88" s="75">
        <f>final_solutions[[#This Row],[Obj1]]*(-1)*3.6</f>
        <v>415.62500040000003</v>
      </c>
      <c r="D88" s="75">
        <f>final_solutions[[#This Row],[Obj2]]</f>
        <v>180.71263099999999</v>
      </c>
      <c r="E88" s="75">
        <f>final_solutions[[#This Row],[Obj3]]/200</f>
        <v>1.5932661699999999</v>
      </c>
      <c r="G88" s="56">
        <f t="shared" si="24"/>
        <v>0.42561005387084283</v>
      </c>
      <c r="H88" s="56">
        <f t="shared" si="25"/>
        <v>-0.2346938770712203</v>
      </c>
      <c r="I88" s="55">
        <f t="shared" si="26"/>
        <v>-0.40157405872303686</v>
      </c>
      <c r="J88" s="55">
        <f t="shared" si="27"/>
        <v>-6.1360477692365023E-2</v>
      </c>
      <c r="K88" s="56">
        <f t="shared" si="28"/>
        <v>-0.12583613702001298</v>
      </c>
      <c r="L88" s="57">
        <f t="shared" si="29"/>
        <v>4.8790322590609052E-2</v>
      </c>
      <c r="M88" s="56">
        <f t="shared" si="30"/>
        <v>5.846098200648752E-2</v>
      </c>
      <c r="N88" s="57">
        <f t="shared" si="31"/>
        <v>9.4959968082611257E-2</v>
      </c>
      <c r="O88" s="56">
        <f t="shared" si="32"/>
        <v>-0.19663783396632742</v>
      </c>
      <c r="P88" s="57">
        <f t="shared" si="33"/>
        <v>6.5331104167757309E-2</v>
      </c>
      <c r="Q88" s="56">
        <f t="shared" si="34"/>
        <v>-0.12583613702001303</v>
      </c>
      <c r="R88" s="57">
        <f t="shared" si="35"/>
        <v>-0.37681973128023377</v>
      </c>
    </row>
    <row r="89" spans="2:18">
      <c r="B89" s="13">
        <v>57</v>
      </c>
      <c r="C89" s="75">
        <f>final_solutions[[#This Row],[Obj1]]*(-1)*3.6</f>
        <v>415.62500040000003</v>
      </c>
      <c r="D89" s="75">
        <f>final_solutions[[#This Row],[Obj2]]</f>
        <v>188.40248099999999</v>
      </c>
      <c r="E89" s="75">
        <f>final_solutions[[#This Row],[Obj3]]/200</f>
        <v>1.59252872</v>
      </c>
      <c r="G89" s="56">
        <f t="shared" si="24"/>
        <v>0.42469659379288383</v>
      </c>
      <c r="H89" s="56">
        <f t="shared" si="25"/>
        <v>-0.2346938770712203</v>
      </c>
      <c r="I89" s="55">
        <f t="shared" si="26"/>
        <v>-0.392891518515667</v>
      </c>
      <c r="J89" s="55">
        <f t="shared" si="27"/>
        <v>-6.2301902098576611E-2</v>
      </c>
      <c r="K89" s="56">
        <f t="shared" si="28"/>
        <v>-0.11959044028081121</v>
      </c>
      <c r="L89" s="57">
        <f t="shared" si="29"/>
        <v>4.6417734977351299E-2</v>
      </c>
      <c r="M89" s="56">
        <f t="shared" si="30"/>
        <v>6.4706678745689292E-2</v>
      </c>
      <c r="N89" s="57">
        <f t="shared" si="31"/>
        <v>9.2587380469353539E-2</v>
      </c>
      <c r="O89" s="56">
        <f t="shared" si="32"/>
        <v>-0.19663783396632742</v>
      </c>
      <c r="P89" s="57">
        <f t="shared" si="33"/>
        <v>6.441764408979829E-2</v>
      </c>
      <c r="Q89" s="56">
        <f t="shared" si="34"/>
        <v>-0.11959044028081126</v>
      </c>
      <c r="R89" s="57">
        <f t="shared" si="35"/>
        <v>-0.37827885881553253</v>
      </c>
    </row>
    <row r="90" spans="2:18">
      <c r="B90" s="13">
        <v>58</v>
      </c>
      <c r="C90" s="75">
        <f>final_solutions[[#This Row],[Obj1]]*(-1)*3.6</f>
        <v>840.62499839999998</v>
      </c>
      <c r="D90" s="75">
        <f>final_solutions[[#This Row],[Obj2]]</f>
        <v>476.05447400000003</v>
      </c>
      <c r="E90" s="75">
        <f>final_solutions[[#This Row],[Obj3]]/200</f>
        <v>1.3240677600000001</v>
      </c>
      <c r="G90" s="56">
        <f t="shared" si="24"/>
        <v>9.2161005684436526E-2</v>
      </c>
      <c r="H90" s="56">
        <f t="shared" si="25"/>
        <v>0.45918367023073703</v>
      </c>
      <c r="I90" s="55">
        <f t="shared" si="26"/>
        <v>-6.8106250278631375E-2</v>
      </c>
      <c r="J90" s="55">
        <f t="shared" si="27"/>
        <v>-0.40501761144702625</v>
      </c>
      <c r="K90" s="56">
        <f t="shared" si="28"/>
        <v>-0.36796731658111032</v>
      </c>
      <c r="L90" s="57">
        <f t="shared" si="29"/>
        <v>-0.46145039412829525</v>
      </c>
      <c r="M90" s="56">
        <f t="shared" si="30"/>
        <v>0.29833764875225366</v>
      </c>
      <c r="N90" s="57">
        <f t="shared" si="31"/>
        <v>-0.29452936898422472</v>
      </c>
      <c r="O90" s="56">
        <f t="shared" si="32"/>
        <v>-0.67864568027319083</v>
      </c>
      <c r="P90" s="57">
        <f t="shared" si="33"/>
        <v>-0.38886932367071725</v>
      </c>
      <c r="Q90" s="56">
        <f t="shared" si="34"/>
        <v>-0.36796731658111032</v>
      </c>
      <c r="R90" s="57">
        <f t="shared" si="35"/>
        <v>-0.55361139981273177</v>
      </c>
    </row>
    <row r="91" spans="2:18">
      <c r="B91" s="13">
        <v>59</v>
      </c>
      <c r="C91" s="75">
        <f>final_solutions[[#This Row],[Obj1]]*(-1)*3.6</f>
        <v>521.87500080000007</v>
      </c>
      <c r="D91" s="75">
        <f>final_solutions[[#This Row],[Obj2]]</f>
        <v>198.170883</v>
      </c>
      <c r="E91" s="75">
        <f>final_solutions[[#This Row],[Obj3]]/200</f>
        <v>1.6190465249999999</v>
      </c>
      <c r="G91" s="56">
        <f t="shared" si="24"/>
        <v>0.45754350710579195</v>
      </c>
      <c r="H91" s="56">
        <f t="shared" si="25"/>
        <v>-6.1224488776343122E-2</v>
      </c>
      <c r="I91" s="55">
        <f t="shared" si="26"/>
        <v>-0.38186210401125509</v>
      </c>
      <c r="J91" s="55">
        <f t="shared" si="27"/>
        <v>-2.8449425556218877E-2</v>
      </c>
      <c r="K91" s="56">
        <f t="shared" si="28"/>
        <v>-0.23215850605079377</v>
      </c>
      <c r="L91" s="57">
        <f t="shared" si="29"/>
        <v>4.7223276156239419E-2</v>
      </c>
      <c r="M91" s="56">
        <f t="shared" si="30"/>
        <v>7.2640575573145183E-2</v>
      </c>
      <c r="N91" s="57">
        <f t="shared" si="31"/>
        <v>0.12358076681696753</v>
      </c>
      <c r="O91" s="56">
        <f t="shared" si="32"/>
        <v>-0.31713979656376584</v>
      </c>
      <c r="P91" s="57">
        <f t="shared" si="33"/>
        <v>6.707671223398054E-2</v>
      </c>
      <c r="Q91" s="56">
        <f t="shared" si="34"/>
        <v>-0.23215850605079383</v>
      </c>
      <c r="R91" s="57">
        <f t="shared" si="35"/>
        <v>-0.4103202309495525</v>
      </c>
    </row>
    <row r="92" spans="2:18">
      <c r="B92" s="13">
        <v>60</v>
      </c>
      <c r="C92" s="75">
        <f>final_solutions[[#This Row],[Obj1]]*(-1)*3.6</f>
        <v>603.12499919999993</v>
      </c>
      <c r="D92" s="75">
        <f>final_solutions[[#This Row],[Obj2]]</f>
        <v>204.77246099999999</v>
      </c>
      <c r="E92" s="75">
        <f>final_solutions[[#This Row],[Obj3]]/200</f>
        <v>1.62227499</v>
      </c>
      <c r="G92" s="56">
        <f t="shared" si="24"/>
        <v>0.46154252248390337</v>
      </c>
      <c r="H92" s="56">
        <f t="shared" si="25"/>
        <v>7.142856974927092E-2</v>
      </c>
      <c r="I92" s="55">
        <f t="shared" si="26"/>
        <v>-0.37440832189364703</v>
      </c>
      <c r="J92" s="55">
        <f t="shared" si="27"/>
        <v>-2.4327985803557384E-2</v>
      </c>
      <c r="K92" s="56">
        <f t="shared" si="28"/>
        <v>-0.3189452613823508</v>
      </c>
      <c r="L92" s="57">
        <f t="shared" si="29"/>
        <v>2.6884838333464771E-2</v>
      </c>
      <c r="M92" s="56">
        <f t="shared" si="30"/>
        <v>7.8002377713393189E-2</v>
      </c>
      <c r="N92" s="57">
        <f t="shared" si="31"/>
        <v>0.12632715122877633</v>
      </c>
      <c r="O92" s="56">
        <f t="shared" si="32"/>
        <v>-0.4092883540355709</v>
      </c>
      <c r="P92" s="57">
        <f t="shared" si="33"/>
        <v>4.7990905377508532E-2</v>
      </c>
      <c r="Q92" s="56">
        <f t="shared" si="34"/>
        <v>-0.31894526138235085</v>
      </c>
      <c r="R92" s="57">
        <f t="shared" si="35"/>
        <v>-0.43465768415043859</v>
      </c>
    </row>
    <row r="93" spans="2:18">
      <c r="B93" s="13">
        <v>61</v>
      </c>
      <c r="C93" s="75">
        <f>final_solutions[[#This Row],[Obj1]]*(-1)*3.6</f>
        <v>621.87500160000002</v>
      </c>
      <c r="D93" s="75">
        <f>final_solutions[[#This Row],[Obj2]]</f>
        <v>908.06048599999997</v>
      </c>
      <c r="E93" s="75">
        <f>final_solutions[[#This Row],[Obj3]]/200</f>
        <v>1.27237277</v>
      </c>
      <c r="G93" s="56">
        <f t="shared" si="24"/>
        <v>2.8127770081351811E-2</v>
      </c>
      <c r="H93" s="56">
        <f t="shared" si="25"/>
        <v>0.10204081854560598</v>
      </c>
      <c r="I93" s="55">
        <f t="shared" si="26"/>
        <v>0.41966783751443326</v>
      </c>
      <c r="J93" s="55">
        <f t="shared" si="27"/>
        <v>-0.47101113679093864</v>
      </c>
      <c r="K93" s="56">
        <f t="shared" si="28"/>
        <v>0.23100026971499299</v>
      </c>
      <c r="L93" s="57">
        <f t="shared" si="29"/>
        <v>-0.54530411774956256</v>
      </c>
      <c r="M93" s="56">
        <f t="shared" si="30"/>
        <v>0.64921296367568437</v>
      </c>
      <c r="N93" s="57">
        <f t="shared" si="31"/>
        <v>-0.44053453739793541</v>
      </c>
      <c r="O93" s="56">
        <f t="shared" si="32"/>
        <v>-0.43055340890051846</v>
      </c>
      <c r="P93" s="57">
        <f t="shared" si="33"/>
        <v>-0.3907511144813588</v>
      </c>
      <c r="Q93" s="56">
        <f t="shared" si="34"/>
        <v>0.23100026971499299</v>
      </c>
      <c r="R93" s="57">
        <f t="shared" si="35"/>
        <v>-0.57343188783091437</v>
      </c>
    </row>
    <row r="94" spans="2:18">
      <c r="B94" s="13">
        <v>62</v>
      </c>
      <c r="C94" s="75">
        <f>final_solutions[[#This Row],[Obj1]]*(-1)*3.6</f>
        <v>796.87500119999993</v>
      </c>
      <c r="D94" s="75">
        <f>final_solutions[[#This Row],[Obj2]]</f>
        <v>955.15863000000002</v>
      </c>
      <c r="E94" s="75">
        <f>final_solutions[[#This Row],[Obj3]]/200</f>
        <v>1.264826805</v>
      </c>
      <c r="G94" s="56">
        <f t="shared" si="24"/>
        <v>1.8780780079078019E-2</v>
      </c>
      <c r="H94" s="56">
        <f t="shared" si="25"/>
        <v>0.38775510342024133</v>
      </c>
      <c r="I94" s="55">
        <f t="shared" si="26"/>
        <v>0.47284592668034608</v>
      </c>
      <c r="J94" s="55">
        <f t="shared" si="27"/>
        <v>-0.48064427208067906</v>
      </c>
      <c r="K94" s="56">
        <f t="shared" si="28"/>
        <v>7.0779566210119771E-2</v>
      </c>
      <c r="L94" s="57">
        <f t="shared" si="29"/>
        <v>-0.6133090053286252</v>
      </c>
      <c r="M94" s="56">
        <f t="shared" si="30"/>
        <v>0.68746607971868312</v>
      </c>
      <c r="N94" s="57">
        <f t="shared" si="31"/>
        <v>-0.45881826852934215</v>
      </c>
      <c r="O94" s="56">
        <f t="shared" si="32"/>
        <v>-0.62902722844839043</v>
      </c>
      <c r="P94" s="57">
        <f t="shared" si="33"/>
        <v>-0.44981926093128821</v>
      </c>
      <c r="Q94" s="56">
        <f t="shared" si="34"/>
        <v>7.0779566210119771E-2</v>
      </c>
      <c r="R94" s="57">
        <f t="shared" si="35"/>
        <v>-0.63208978540770322</v>
      </c>
    </row>
    <row r="95" spans="2:18">
      <c r="B95" s="13">
        <v>63</v>
      </c>
      <c r="C95" s="75">
        <f>final_solutions[[#This Row],[Obj1]]*(-1)*3.6</f>
        <v>521.87500080000007</v>
      </c>
      <c r="D95" s="75">
        <f>final_solutions[[#This Row],[Obj2]]</f>
        <v>209.717377</v>
      </c>
      <c r="E95" s="75">
        <f>final_solutions[[#This Row],[Obj3]]/200</f>
        <v>1.6184633099999999</v>
      </c>
      <c r="G95" s="56">
        <f t="shared" si="24"/>
        <v>0.45682109389897524</v>
      </c>
      <c r="H95" s="56">
        <f t="shared" si="25"/>
        <v>-6.1224488776343122E-2</v>
      </c>
      <c r="I95" s="55">
        <f t="shared" si="26"/>
        <v>-0.36882506188310504</v>
      </c>
      <c r="J95" s="55">
        <f t="shared" si="27"/>
        <v>-2.919395445318651E-2</v>
      </c>
      <c r="K95" s="56">
        <f t="shared" si="28"/>
        <v>-0.22278044276932377</v>
      </c>
      <c r="L95" s="57">
        <f t="shared" si="29"/>
        <v>4.4309947998993071E-2</v>
      </c>
      <c r="M95" s="56">
        <f t="shared" si="30"/>
        <v>8.2018638854615189E-2</v>
      </c>
      <c r="N95" s="57">
        <f t="shared" si="31"/>
        <v>0.12066743865972118</v>
      </c>
      <c r="O95" s="56">
        <f t="shared" si="32"/>
        <v>-0.31713979656376584</v>
      </c>
      <c r="P95" s="57">
        <f t="shared" si="33"/>
        <v>6.635429902716386E-2</v>
      </c>
      <c r="Q95" s="56">
        <f t="shared" si="34"/>
        <v>-0.22278044276932382</v>
      </c>
      <c r="R95" s="57">
        <f t="shared" si="35"/>
        <v>-0.41251114589998217</v>
      </c>
    </row>
    <row r="96" spans="2:18">
      <c r="B96" s="13">
        <v>64</v>
      </c>
      <c r="C96" s="75">
        <f>final_solutions[[#This Row],[Obj1]]*(-1)*3.6</f>
        <v>409.37500080000001</v>
      </c>
      <c r="D96" s="75">
        <f>final_solutions[[#This Row],[Obj2]]</f>
        <v>229.798599</v>
      </c>
      <c r="E96" s="75">
        <f>final_solutions[[#This Row],[Obj3]]/200</f>
        <v>1.5490029400000001</v>
      </c>
      <c r="G96" s="56">
        <f t="shared" si="24"/>
        <v>0.37078234551567107</v>
      </c>
      <c r="H96" s="56">
        <f t="shared" si="25"/>
        <v>-0.24489795804414827</v>
      </c>
      <c r="I96" s="55">
        <f t="shared" si="26"/>
        <v>-0.34615153542574639</v>
      </c>
      <c r="J96" s="55">
        <f t="shared" si="27"/>
        <v>-0.11786666118922634</v>
      </c>
      <c r="K96" s="56">
        <f t="shared" si="28"/>
        <v>-7.8880159916390011E-2</v>
      </c>
      <c r="L96" s="57">
        <f t="shared" si="29"/>
        <v>-1.3575555461556241E-2</v>
      </c>
      <c r="M96" s="56">
        <f t="shared" si="30"/>
        <v>9.8328608849424695E-2</v>
      </c>
      <c r="N96" s="57">
        <f t="shared" si="31"/>
        <v>3.0818334552619189E-2</v>
      </c>
      <c r="O96" s="56">
        <f t="shared" si="32"/>
        <v>-0.18954948370564165</v>
      </c>
      <c r="P96" s="57">
        <f t="shared" si="33"/>
        <v>1.2279151290412335E-2</v>
      </c>
      <c r="Q96" s="56">
        <f t="shared" si="34"/>
        <v>-7.8880159916390052E-2</v>
      </c>
      <c r="R96" s="57">
        <f t="shared" si="35"/>
        <v>-0.38435790097722733</v>
      </c>
    </row>
    <row r="97" spans="2:18">
      <c r="B97" s="13">
        <v>65</v>
      </c>
      <c r="C97" s="75">
        <f>final_solutions[[#This Row],[Obj1]]*(-1)*3.6</f>
        <v>478.125</v>
      </c>
      <c r="D97" s="75">
        <f>final_solutions[[#This Row],[Obj2]]</f>
        <v>233.228455</v>
      </c>
      <c r="E97" s="75">
        <f>final_solutions[[#This Row],[Obj3]]/200</f>
        <v>1.6132723449999999</v>
      </c>
      <c r="G97" s="56">
        <f t="shared" si="24"/>
        <v>0.45039118096442665</v>
      </c>
      <c r="H97" s="56">
        <f t="shared" si="25"/>
        <v>-0.13265306146438988</v>
      </c>
      <c r="I97" s="55">
        <f t="shared" si="26"/>
        <v>-0.34227891598252069</v>
      </c>
      <c r="J97" s="55">
        <f t="shared" si="27"/>
        <v>-3.5820710359065533E-2</v>
      </c>
      <c r="K97" s="56">
        <f t="shared" si="28"/>
        <v>-0.15406628756974611</v>
      </c>
      <c r="L97" s="57">
        <f t="shared" si="29"/>
        <v>4.5849163122762604E-2</v>
      </c>
      <c r="M97" s="56">
        <f t="shared" si="30"/>
        <v>0.10111433814650225</v>
      </c>
      <c r="N97" s="57">
        <f t="shared" si="31"/>
        <v>0.10977636441586795</v>
      </c>
      <c r="O97" s="56">
        <f t="shared" si="32"/>
        <v>-0.26752134065607525</v>
      </c>
      <c r="P97" s="57">
        <f t="shared" si="33"/>
        <v>7.2354675460237994E-2</v>
      </c>
      <c r="Q97" s="56">
        <f t="shared" si="34"/>
        <v>-0.15406628756974616</v>
      </c>
      <c r="R97" s="57">
        <f t="shared" si="35"/>
        <v>-0.40454201784166405</v>
      </c>
    </row>
    <row r="98" spans="2:18">
      <c r="B98" s="13">
        <v>66</v>
      </c>
      <c r="C98" s="75">
        <f>final_solutions[[#This Row],[Obj1]]*(-1)*3.6</f>
        <v>828.12499919999993</v>
      </c>
      <c r="D98" s="75">
        <f>final_solutions[[#This Row],[Obj2]]</f>
        <v>235.93630999999999</v>
      </c>
      <c r="E98" s="75">
        <f>final_solutions[[#This Row],[Obj3]]/200</f>
        <v>1.6300363250000001</v>
      </c>
      <c r="G98" s="56">
        <f t="shared" ref="G98:G102" si="36">D$19*(L98-R98)</f>
        <v>0.47115628568705858</v>
      </c>
      <c r="H98" s="56">
        <f t="shared" ref="H98:H102" si="37">(C98-H$16)/H$17-0.5</f>
        <v>0.4387755082848811</v>
      </c>
      <c r="I98" s="55">
        <f t="shared" ref="I98:I102" si="38">(D98-I$16)/I$17-0.5</f>
        <v>-0.33922150134982598</v>
      </c>
      <c r="J98" s="55">
        <f t="shared" ref="J98:J102" si="39">(E98-J$16)/J$17-0.5</f>
        <v>-1.4419910417043158E-2</v>
      </c>
      <c r="K98" s="56">
        <f t="shared" ref="K98:K102" si="40">(H98*$H$13+I98*$I$13+J98*$J$13+$D$27)*$C$27</f>
        <v>-0.54881460663405501</v>
      </c>
      <c r="L98" s="57">
        <f t="shared" ref="L98:L102" si="41">(H98*$H$14+I98*$I$14+J98*$J$14+$E$27)*$C$27</f>
        <v>-3.3341852964518318E-2</v>
      </c>
      <c r="M98" s="56">
        <f t="shared" ref="M98:M102" si="42">(H$27*$H$13+I98*$I$13+J98*$J$13+$D$27)*$C$27</f>
        <v>0.10331365817793733</v>
      </c>
      <c r="N98" s="57">
        <f t="shared" ref="N98:N102" si="43">(H$27*$H$14+I98*$I$14+J98*$J$14+$E$27)*$C$27</f>
        <v>0.13002766122389861</v>
      </c>
      <c r="O98" s="56">
        <f t="shared" ref="O98:O102" si="44">(H98*$H$13+I$27*$I$13+J98*$J$13+$D$27)*$C$27</f>
        <v>-0.66446897975181929</v>
      </c>
      <c r="P98" s="57">
        <f t="shared" ref="P98:P102" si="45">(H98*$H$14+I$27*$I$14+J98*$J$14+$E$27)*$C$27</f>
        <v>-6.322532712441686E-3</v>
      </c>
      <c r="Q98" s="56">
        <f t="shared" ref="Q98:Q102" si="46">(H98*$H$13+I98*$I$13+J$27*$J$13+$D$27)*$C$27</f>
        <v>-0.54881460663405512</v>
      </c>
      <c r="R98" s="57">
        <f t="shared" ref="R98:R102" si="47">(H98*$H$14+I98*$I$14+J$27*$J$14+$E$27)*$C$27</f>
        <v>-0.50449813865157689</v>
      </c>
    </row>
    <row r="99" spans="2:18">
      <c r="B99" s="13">
        <v>67</v>
      </c>
      <c r="C99" s="75">
        <f>final_solutions[[#This Row],[Obj1]]*(-1)*3.6</f>
        <v>734.37500160000002</v>
      </c>
      <c r="D99" s="75">
        <f>final_solutions[[#This Row],[Obj2]]</f>
        <v>815.24774200000002</v>
      </c>
      <c r="E99" s="75">
        <f>final_solutions[[#This Row],[Obj3]]/200</f>
        <v>1.2885865400000001</v>
      </c>
      <c r="G99" s="56">
        <f t="shared" si="36"/>
        <v>4.8211344029701952E-2</v>
      </c>
      <c r="H99" s="56">
        <f t="shared" si="37"/>
        <v>0.28571428781341102</v>
      </c>
      <c r="I99" s="55">
        <f t="shared" si="38"/>
        <v>0.31487380622171313</v>
      </c>
      <c r="J99" s="55">
        <f t="shared" si="39"/>
        <v>-0.45031273175371234</v>
      </c>
      <c r="K99" s="56">
        <f t="shared" si="40"/>
        <v>2.8027439310081143E-2</v>
      </c>
      <c r="L99" s="57">
        <f t="shared" si="41"/>
        <v>-0.53957318579486135</v>
      </c>
      <c r="M99" s="56">
        <f t="shared" si="42"/>
        <v>0.57383044612889689</v>
      </c>
      <c r="N99" s="57">
        <f t="shared" si="43"/>
        <v>-0.40284000479668147</v>
      </c>
      <c r="O99" s="56">
        <f t="shared" si="44"/>
        <v>-0.55814372175864257</v>
      </c>
      <c r="P99" s="57">
        <f t="shared" si="45"/>
        <v>-0.40263114117956122</v>
      </c>
      <c r="Q99" s="56">
        <f t="shared" si="46"/>
        <v>2.8027439310081136E-2</v>
      </c>
      <c r="R99" s="57">
        <f t="shared" si="47"/>
        <v>-0.58778452982456331</v>
      </c>
    </row>
    <row r="100" spans="2:18">
      <c r="B100" s="13">
        <v>68</v>
      </c>
      <c r="C100" s="75">
        <f>final_solutions[[#This Row],[Obj1]]*(-1)*3.6</f>
        <v>734.37500160000002</v>
      </c>
      <c r="D100" s="75">
        <f>final_solutions[[#This Row],[Obj2]]</f>
        <v>812.93029799999999</v>
      </c>
      <c r="E100" s="75">
        <f>final_solutions[[#This Row],[Obj3]]/200</f>
        <v>1.28874187</v>
      </c>
      <c r="G100" s="56">
        <f t="shared" si="36"/>
        <v>4.8403747248780271E-2</v>
      </c>
      <c r="H100" s="56">
        <f t="shared" si="37"/>
        <v>0.28571428781341102</v>
      </c>
      <c r="I100" s="55">
        <f t="shared" si="38"/>
        <v>0.31225720112430189</v>
      </c>
      <c r="J100" s="55">
        <f t="shared" si="39"/>
        <v>-0.45011443837379944</v>
      </c>
      <c r="K100" s="56">
        <f t="shared" si="40"/>
        <v>2.6145211121744255E-2</v>
      </c>
      <c r="L100" s="57">
        <f t="shared" si="41"/>
        <v>-0.53894105405677251</v>
      </c>
      <c r="M100" s="56">
        <f t="shared" si="42"/>
        <v>0.57194821794055994</v>
      </c>
      <c r="N100" s="57">
        <f t="shared" si="43"/>
        <v>-0.40220787305859268</v>
      </c>
      <c r="O100" s="56">
        <f t="shared" si="44"/>
        <v>-0.55814372175864257</v>
      </c>
      <c r="P100" s="57">
        <f t="shared" si="45"/>
        <v>-0.40243873796048291</v>
      </c>
      <c r="Q100" s="56">
        <f t="shared" si="46"/>
        <v>2.6145211121744248E-2</v>
      </c>
      <c r="R100" s="57">
        <f t="shared" si="47"/>
        <v>-0.58734480130555278</v>
      </c>
    </row>
    <row r="101" spans="2:18">
      <c r="B101" s="13">
        <v>69</v>
      </c>
      <c r="C101" s="75">
        <f>final_solutions[[#This Row],[Obj1]]*(-1)*3.6</f>
        <v>765.62499960000002</v>
      </c>
      <c r="D101" s="75">
        <f>final_solutions[[#This Row],[Obj2]]</f>
        <v>645.49047900000005</v>
      </c>
      <c r="E101" s="75">
        <f>final_solutions[[#This Row],[Obj3]]/200</f>
        <v>1.298728605</v>
      </c>
      <c r="G101" s="56">
        <f t="shared" si="36"/>
        <v>6.0774055380391712E-2</v>
      </c>
      <c r="H101" s="56">
        <f t="shared" si="37"/>
        <v>0.33673469267805078</v>
      </c>
      <c r="I101" s="55">
        <f t="shared" si="38"/>
        <v>0.12320241321787606</v>
      </c>
      <c r="J101" s="55">
        <f t="shared" si="39"/>
        <v>-0.43736543021410279</v>
      </c>
      <c r="K101" s="56">
        <f t="shared" si="40"/>
        <v>-0.1452911735673591</v>
      </c>
      <c r="L101" s="57">
        <f t="shared" si="41"/>
        <v>-0.50367828585084196</v>
      </c>
      <c r="M101" s="56">
        <f t="shared" si="42"/>
        <v>0.43595358455488553</v>
      </c>
      <c r="N101" s="57">
        <f t="shared" si="43"/>
        <v>-0.35806632746352818</v>
      </c>
      <c r="O101" s="56">
        <f t="shared" si="44"/>
        <v>-0.59358547306207154</v>
      </c>
      <c r="P101" s="57">
        <f t="shared" si="45"/>
        <v>-0.39894720721800542</v>
      </c>
      <c r="Q101" s="56">
        <f t="shared" si="46"/>
        <v>-0.1452911735673591</v>
      </c>
      <c r="R101" s="57">
        <f t="shared" si="47"/>
        <v>-0.56445234123123367</v>
      </c>
    </row>
    <row r="102" spans="2:18">
      <c r="B102" s="13">
        <v>70</v>
      </c>
      <c r="C102" s="75">
        <f>final_solutions[[#This Row],[Obj1]]*(-1)*3.6</f>
        <v>690.62500080000007</v>
      </c>
      <c r="D102" s="75">
        <f>final_solutions[[#This Row],[Obj2]]</f>
        <v>979.20812999999998</v>
      </c>
      <c r="E102" s="75">
        <f>final_solutions[[#This Row],[Obj3]]/200</f>
        <v>1.2572812600000001</v>
      </c>
      <c r="G102" s="56">
        <f t="shared" si="36"/>
        <v>9.4343103198484268E-3</v>
      </c>
      <c r="H102" s="56">
        <f t="shared" si="37"/>
        <v>0.21428571512536443</v>
      </c>
      <c r="I102" s="55">
        <f t="shared" si="38"/>
        <v>0.5</v>
      </c>
      <c r="J102" s="55">
        <f t="shared" si="39"/>
        <v>-0.49027687120084773</v>
      </c>
      <c r="K102" s="56">
        <f t="shared" si="40"/>
        <v>0.21081453448769893</v>
      </c>
      <c r="L102" s="57">
        <f t="shared" si="41"/>
        <v>-0.59703095529740891</v>
      </c>
      <c r="M102" s="56">
        <f t="shared" si="42"/>
        <v>0.70699908539882406</v>
      </c>
      <c r="N102" s="57">
        <f t="shared" si="43"/>
        <v>-0.47272806366685177</v>
      </c>
      <c r="O102" s="56">
        <f t="shared" si="44"/>
        <v>-0.50852526585095215</v>
      </c>
      <c r="P102" s="57">
        <f t="shared" si="45"/>
        <v>-0.42897788552179195</v>
      </c>
      <c r="Q102" s="56">
        <f t="shared" si="46"/>
        <v>0.21081453448769893</v>
      </c>
      <c r="R102" s="57">
        <f t="shared" si="47"/>
        <v>-0.60646526561725733</v>
      </c>
    </row>
    <row r="103" spans="2:18">
      <c r="B103" s="13"/>
      <c r="C103" s="59"/>
      <c r="D103" s="59"/>
      <c r="E103" s="59"/>
      <c r="G103" s="55"/>
      <c r="H103" s="56"/>
      <c r="I103" s="55"/>
      <c r="J103" s="55"/>
      <c r="K103" s="56"/>
      <c r="L103" s="57"/>
      <c r="M103" s="56"/>
      <c r="N103" s="57"/>
      <c r="O103" s="56"/>
      <c r="P103" s="57"/>
      <c r="Q103" s="56"/>
      <c r="R103" s="57"/>
    </row>
    <row r="104" spans="2:18">
      <c r="B104" s="13"/>
      <c r="C104" s="59"/>
      <c r="D104" s="59"/>
      <c r="E104" s="59"/>
      <c r="G104" s="55"/>
      <c r="H104" s="56"/>
      <c r="I104" s="55"/>
      <c r="J104" s="55"/>
      <c r="K104" s="56"/>
      <c r="L104" s="57"/>
      <c r="M104" s="56"/>
      <c r="N104" s="57"/>
      <c r="O104" s="56"/>
      <c r="P104" s="57"/>
      <c r="Q104" s="56"/>
      <c r="R104" s="57"/>
    </row>
    <row r="105" spans="2:18">
      <c r="B105" s="13"/>
      <c r="C105" s="59"/>
      <c r="D105" s="59"/>
      <c r="E105" s="59"/>
      <c r="G105" s="55"/>
      <c r="H105" s="56"/>
      <c r="I105" s="55"/>
      <c r="J105" s="55"/>
      <c r="K105" s="56"/>
      <c r="L105" s="57"/>
      <c r="M105" s="56"/>
      <c r="N105" s="57"/>
      <c r="O105" s="56"/>
      <c r="P105" s="57"/>
      <c r="Q105" s="56"/>
      <c r="R105" s="57"/>
    </row>
    <row r="106" spans="2:18">
      <c r="B106" s="13"/>
      <c r="C106" s="59"/>
      <c r="D106" s="59"/>
      <c r="E106" s="59"/>
      <c r="G106" s="55"/>
      <c r="H106" s="56"/>
      <c r="I106" s="55"/>
      <c r="J106" s="55"/>
      <c r="K106" s="56"/>
      <c r="L106" s="57"/>
      <c r="M106" s="56"/>
      <c r="N106" s="57"/>
      <c r="O106" s="56"/>
      <c r="P106" s="57"/>
      <c r="Q106" s="56"/>
      <c r="R106" s="57"/>
    </row>
    <row r="107" spans="2:18">
      <c r="B107" s="13"/>
      <c r="C107" s="59"/>
      <c r="D107" s="59"/>
      <c r="E107" s="59"/>
      <c r="G107" s="55"/>
      <c r="H107" s="56"/>
      <c r="I107" s="55"/>
      <c r="J107" s="55"/>
      <c r="K107" s="56"/>
      <c r="L107" s="57"/>
      <c r="M107" s="56"/>
      <c r="N107" s="57"/>
      <c r="O107" s="56"/>
      <c r="P107" s="57"/>
      <c r="Q107" s="56"/>
      <c r="R107" s="57"/>
    </row>
    <row r="108" spans="2:18">
      <c r="B108" s="13"/>
      <c r="C108" s="59"/>
      <c r="D108" s="59"/>
      <c r="E108" s="59"/>
      <c r="G108" s="55"/>
      <c r="H108" s="56"/>
      <c r="I108" s="55"/>
      <c r="J108" s="55"/>
      <c r="K108" s="56"/>
      <c r="L108" s="57"/>
      <c r="M108" s="56"/>
      <c r="N108" s="57"/>
      <c r="O108" s="56"/>
      <c r="P108" s="57"/>
      <c r="Q108" s="56"/>
      <c r="R108" s="57"/>
    </row>
    <row r="109" spans="2:18">
      <c r="B109" s="13"/>
      <c r="C109" s="59"/>
      <c r="D109" s="59"/>
      <c r="E109" s="59"/>
      <c r="G109" s="55"/>
      <c r="H109" s="56"/>
      <c r="I109" s="55"/>
      <c r="J109" s="55"/>
      <c r="K109" s="56"/>
      <c r="L109" s="57"/>
      <c r="M109" s="56"/>
      <c r="N109" s="57"/>
      <c r="O109" s="56"/>
      <c r="P109" s="57"/>
      <c r="Q109" s="56"/>
      <c r="R109" s="57"/>
    </row>
    <row r="110" spans="2:18">
      <c r="B110" s="13"/>
      <c r="C110" s="59"/>
      <c r="D110" s="59"/>
      <c r="E110" s="59"/>
      <c r="G110" s="55"/>
      <c r="H110" s="56"/>
      <c r="I110" s="55"/>
      <c r="J110" s="55"/>
      <c r="K110" s="56"/>
      <c r="L110" s="57"/>
      <c r="M110" s="56"/>
      <c r="N110" s="57"/>
      <c r="O110" s="56"/>
      <c r="P110" s="57"/>
      <c r="Q110" s="56"/>
      <c r="R110" s="57"/>
    </row>
    <row r="111" spans="2:18">
      <c r="B111" s="13"/>
      <c r="C111" s="59"/>
      <c r="D111" s="59"/>
      <c r="E111" s="59"/>
      <c r="G111" s="55"/>
      <c r="H111" s="56"/>
      <c r="I111" s="55"/>
      <c r="J111" s="55"/>
      <c r="K111" s="56"/>
      <c r="L111" s="57"/>
      <c r="M111" s="56"/>
      <c r="N111" s="57"/>
      <c r="O111" s="56"/>
      <c r="P111" s="57"/>
      <c r="Q111" s="56"/>
      <c r="R111" s="57"/>
    </row>
    <row r="112" spans="2:18">
      <c r="B112" s="13"/>
      <c r="C112" s="59"/>
      <c r="D112" s="59"/>
      <c r="E112" s="59"/>
      <c r="G112" s="55"/>
      <c r="H112" s="56"/>
      <c r="I112" s="55"/>
      <c r="J112" s="55"/>
      <c r="K112" s="56"/>
      <c r="L112" s="57"/>
      <c r="M112" s="56"/>
      <c r="N112" s="57"/>
      <c r="O112" s="56"/>
      <c r="P112" s="57"/>
      <c r="Q112" s="56"/>
      <c r="R112" s="57"/>
    </row>
    <row r="113" spans="2:18">
      <c r="B113" s="13"/>
      <c r="C113" s="59"/>
      <c r="D113" s="59"/>
      <c r="E113" s="59"/>
      <c r="G113" s="55"/>
      <c r="H113" s="56"/>
      <c r="I113" s="55"/>
      <c r="J113" s="55"/>
      <c r="K113" s="56"/>
      <c r="L113" s="57"/>
      <c r="M113" s="56"/>
      <c r="N113" s="57"/>
      <c r="O113" s="56"/>
      <c r="P113" s="57"/>
      <c r="Q113" s="56"/>
      <c r="R113" s="57"/>
    </row>
    <row r="114" spans="2:18">
      <c r="B114" s="13"/>
      <c r="C114" s="59"/>
      <c r="D114" s="59"/>
      <c r="E114" s="59"/>
      <c r="G114" s="55"/>
      <c r="H114" s="56"/>
      <c r="I114" s="55"/>
      <c r="J114" s="55"/>
      <c r="K114" s="56"/>
      <c r="L114" s="57"/>
      <c r="M114" s="56"/>
      <c r="N114" s="57"/>
      <c r="O114" s="56"/>
      <c r="P114" s="57"/>
      <c r="Q114" s="56"/>
      <c r="R114" s="57"/>
    </row>
    <row r="115" spans="2:18">
      <c r="B115" s="13"/>
      <c r="C115" s="59"/>
      <c r="D115" s="59"/>
      <c r="E115" s="59"/>
      <c r="G115" s="55"/>
      <c r="H115" s="56"/>
      <c r="I115" s="55"/>
      <c r="J115" s="55"/>
      <c r="K115" s="56"/>
      <c r="L115" s="57"/>
      <c r="M115" s="56"/>
      <c r="N115" s="57"/>
      <c r="O115" s="56"/>
      <c r="P115" s="57"/>
      <c r="Q115" s="56"/>
      <c r="R115" s="57"/>
    </row>
    <row r="116" spans="2:18">
      <c r="B116" s="13"/>
      <c r="C116" s="59"/>
      <c r="D116" s="59"/>
      <c r="E116" s="59"/>
      <c r="G116" s="55"/>
      <c r="H116" s="56"/>
      <c r="I116" s="55"/>
      <c r="J116" s="55"/>
      <c r="K116" s="56"/>
      <c r="L116" s="57"/>
      <c r="M116" s="56"/>
      <c r="N116" s="57"/>
      <c r="O116" s="56"/>
      <c r="P116" s="57"/>
      <c r="Q116" s="56"/>
      <c r="R116" s="57"/>
    </row>
    <row r="117" spans="2:18">
      <c r="B117" s="13"/>
      <c r="C117" s="59"/>
      <c r="D117" s="59"/>
      <c r="E117" s="59"/>
      <c r="G117" s="55"/>
      <c r="H117" s="56"/>
      <c r="I117" s="55"/>
      <c r="J117" s="55"/>
      <c r="K117" s="56"/>
      <c r="L117" s="57"/>
      <c r="M117" s="56"/>
      <c r="N117" s="57"/>
      <c r="O117" s="56"/>
      <c r="P117" s="57"/>
      <c r="Q117" s="56"/>
      <c r="R117" s="57"/>
    </row>
    <row r="118" spans="2:18">
      <c r="B118" s="13"/>
      <c r="C118" s="59"/>
      <c r="D118" s="59"/>
      <c r="E118" s="59"/>
      <c r="G118" s="55"/>
      <c r="H118" s="56"/>
      <c r="I118" s="55"/>
      <c r="J118" s="55"/>
      <c r="K118" s="56"/>
      <c r="L118" s="57"/>
      <c r="M118" s="56"/>
      <c r="N118" s="57"/>
      <c r="O118" s="56"/>
      <c r="P118" s="57"/>
      <c r="Q118" s="56"/>
      <c r="R118" s="57"/>
    </row>
    <row r="119" spans="2:18">
      <c r="B119" s="13"/>
      <c r="C119" s="59"/>
      <c r="D119" s="59"/>
      <c r="E119" s="59"/>
      <c r="G119" s="55"/>
      <c r="H119" s="56"/>
      <c r="I119" s="55"/>
      <c r="J119" s="55"/>
      <c r="K119" s="56"/>
      <c r="L119" s="57"/>
      <c r="M119" s="56"/>
      <c r="N119" s="57"/>
      <c r="O119" s="56"/>
      <c r="P119" s="57"/>
      <c r="Q119" s="56"/>
      <c r="R119" s="57"/>
    </row>
    <row r="120" spans="2:18">
      <c r="B120" s="13"/>
      <c r="C120" s="59"/>
      <c r="D120" s="59"/>
      <c r="E120" s="59"/>
      <c r="G120" s="55"/>
      <c r="H120" s="56"/>
      <c r="I120" s="55"/>
      <c r="J120" s="55"/>
      <c r="K120" s="56"/>
      <c r="L120" s="57"/>
      <c r="M120" s="56"/>
      <c r="N120" s="57"/>
      <c r="O120" s="56"/>
      <c r="P120" s="57"/>
      <c r="Q120" s="56"/>
      <c r="R120" s="57"/>
    </row>
    <row r="121" spans="2:18">
      <c r="B121" s="13"/>
      <c r="C121" s="59"/>
      <c r="D121" s="59"/>
      <c r="E121" s="59"/>
      <c r="G121" s="55"/>
      <c r="H121" s="56"/>
      <c r="I121" s="55"/>
      <c r="J121" s="55"/>
      <c r="K121" s="56"/>
      <c r="L121" s="57"/>
      <c r="M121" s="56"/>
      <c r="N121" s="57"/>
      <c r="O121" s="56"/>
      <c r="P121" s="57"/>
      <c r="Q121" s="56"/>
      <c r="R121" s="57"/>
    </row>
    <row r="122" spans="2:18">
      <c r="B122" s="13"/>
      <c r="C122" s="59"/>
      <c r="D122" s="59"/>
      <c r="E122" s="59"/>
      <c r="G122" s="55"/>
      <c r="H122" s="56"/>
      <c r="I122" s="55"/>
      <c r="J122" s="55"/>
      <c r="K122" s="56"/>
      <c r="L122" s="57"/>
      <c r="M122" s="56"/>
      <c r="N122" s="57"/>
      <c r="O122" s="56"/>
      <c r="P122" s="57"/>
      <c r="Q122" s="56"/>
      <c r="R122" s="57"/>
    </row>
    <row r="123" spans="2:18">
      <c r="B123" s="13"/>
      <c r="C123" s="59"/>
      <c r="D123" s="59"/>
      <c r="E123" s="59"/>
      <c r="G123" s="55"/>
      <c r="H123" s="56"/>
      <c r="I123" s="55"/>
      <c r="J123" s="55"/>
      <c r="K123" s="56"/>
      <c r="L123" s="57"/>
      <c r="M123" s="56"/>
      <c r="N123" s="57"/>
      <c r="O123" s="56"/>
      <c r="P123" s="57"/>
      <c r="Q123" s="56"/>
      <c r="R123" s="57"/>
    </row>
    <row r="124" spans="2:18">
      <c r="B124" s="13"/>
      <c r="C124" s="59"/>
      <c r="D124" s="59"/>
      <c r="E124" s="59"/>
      <c r="G124" s="55"/>
      <c r="H124" s="56"/>
      <c r="I124" s="55"/>
      <c r="J124" s="55"/>
      <c r="K124" s="56"/>
      <c r="L124" s="57"/>
      <c r="M124" s="56"/>
      <c r="N124" s="57"/>
      <c r="O124" s="56"/>
      <c r="P124" s="57"/>
      <c r="Q124" s="56"/>
      <c r="R124" s="57"/>
    </row>
    <row r="125" spans="2:18">
      <c r="B125" s="13"/>
      <c r="C125" s="59"/>
      <c r="D125" s="59"/>
      <c r="E125" s="59"/>
      <c r="G125" s="55"/>
      <c r="H125" s="56"/>
      <c r="I125" s="55"/>
      <c r="J125" s="55"/>
      <c r="K125" s="56"/>
      <c r="L125" s="57"/>
      <c r="M125" s="56"/>
      <c r="N125" s="57"/>
      <c r="O125" s="56"/>
      <c r="P125" s="57"/>
      <c r="Q125" s="56"/>
      <c r="R125" s="57"/>
    </row>
    <row r="126" spans="2:18">
      <c r="B126" s="13"/>
      <c r="C126" s="59"/>
      <c r="D126" s="59"/>
      <c r="E126" s="59"/>
      <c r="G126" s="55"/>
      <c r="H126" s="56"/>
      <c r="I126" s="55"/>
      <c r="J126" s="55"/>
      <c r="K126" s="56"/>
      <c r="L126" s="57"/>
      <c r="M126" s="56"/>
      <c r="N126" s="57"/>
      <c r="O126" s="56"/>
      <c r="P126" s="57"/>
      <c r="Q126" s="56"/>
      <c r="R126" s="57"/>
    </row>
    <row r="127" spans="2:18">
      <c r="B127" s="13"/>
      <c r="C127" s="59"/>
      <c r="D127" s="59"/>
      <c r="E127" s="59"/>
      <c r="G127" s="55"/>
      <c r="H127" s="56"/>
      <c r="I127" s="55"/>
      <c r="J127" s="55"/>
      <c r="K127" s="56"/>
      <c r="L127" s="57"/>
      <c r="M127" s="56"/>
      <c r="N127" s="57"/>
      <c r="O127" s="56"/>
      <c r="P127" s="57"/>
      <c r="Q127" s="56"/>
      <c r="R127" s="57"/>
    </row>
    <row r="128" spans="2:18">
      <c r="B128" s="13"/>
      <c r="C128" s="59"/>
      <c r="D128" s="59"/>
      <c r="E128" s="59"/>
      <c r="G128" s="55"/>
      <c r="H128" s="56"/>
      <c r="I128" s="55"/>
      <c r="J128" s="55"/>
      <c r="K128" s="56"/>
      <c r="L128" s="57"/>
      <c r="M128" s="56"/>
      <c r="N128" s="57"/>
      <c r="O128" s="56"/>
      <c r="P128" s="57"/>
      <c r="Q128" s="56"/>
      <c r="R128" s="57"/>
    </row>
    <row r="129" spans="2:18">
      <c r="B129" s="13"/>
      <c r="C129" s="59"/>
      <c r="D129" s="59"/>
      <c r="E129" s="59"/>
      <c r="G129" s="55"/>
      <c r="H129" s="56"/>
      <c r="I129" s="55"/>
      <c r="J129" s="55"/>
      <c r="K129" s="56"/>
      <c r="L129" s="57"/>
      <c r="M129" s="56"/>
      <c r="N129" s="57"/>
      <c r="O129" s="56"/>
      <c r="P129" s="57"/>
      <c r="Q129" s="56"/>
      <c r="R129" s="57"/>
    </row>
    <row r="130" spans="2:18">
      <c r="B130" s="13"/>
      <c r="C130" s="59"/>
      <c r="D130" s="59"/>
      <c r="E130" s="59"/>
      <c r="G130" s="55"/>
      <c r="H130" s="56"/>
      <c r="I130" s="55"/>
      <c r="J130" s="55"/>
      <c r="K130" s="56"/>
      <c r="L130" s="57"/>
      <c r="M130" s="56"/>
      <c r="N130" s="57"/>
      <c r="O130" s="56"/>
      <c r="P130" s="57"/>
      <c r="Q130" s="56"/>
      <c r="R130" s="57"/>
    </row>
    <row r="131" spans="2:18">
      <c r="B131" s="13"/>
      <c r="C131" s="59"/>
      <c r="D131" s="59"/>
      <c r="E131" s="59"/>
      <c r="G131" s="55"/>
      <c r="H131" s="56"/>
      <c r="I131" s="55"/>
      <c r="J131" s="55"/>
      <c r="K131" s="56"/>
      <c r="L131" s="57"/>
      <c r="M131" s="56"/>
      <c r="N131" s="57"/>
      <c r="O131" s="56"/>
      <c r="P131" s="57"/>
      <c r="Q131" s="56"/>
      <c r="R131" s="57"/>
    </row>
    <row r="132" spans="2:18">
      <c r="B132" s="13"/>
      <c r="C132" s="59"/>
      <c r="D132" s="59"/>
      <c r="E132" s="59"/>
      <c r="G132" s="55"/>
      <c r="H132" s="56"/>
      <c r="I132" s="55"/>
      <c r="J132" s="55"/>
      <c r="K132" s="56"/>
      <c r="L132" s="57"/>
      <c r="M132" s="56"/>
      <c r="N132" s="57"/>
      <c r="O132" s="56"/>
      <c r="P132" s="57"/>
      <c r="Q132" s="56"/>
      <c r="R132" s="57"/>
    </row>
    <row r="133" spans="2:18">
      <c r="B133" s="13"/>
      <c r="C133" s="59"/>
      <c r="D133" s="59"/>
      <c r="E133" s="59"/>
      <c r="G133" s="55"/>
      <c r="H133" s="56"/>
      <c r="I133" s="55"/>
      <c r="J133" s="55"/>
      <c r="K133" s="56"/>
      <c r="L133" s="57"/>
      <c r="M133" s="56"/>
      <c r="N133" s="57"/>
      <c r="O133" s="56"/>
      <c r="P133" s="57"/>
      <c r="Q133" s="56"/>
      <c r="R133" s="57"/>
    </row>
    <row r="134" spans="2:18">
      <c r="B134" s="13"/>
      <c r="C134" s="59"/>
      <c r="D134" s="59"/>
      <c r="E134" s="59"/>
      <c r="G134" s="55"/>
      <c r="H134" s="56"/>
      <c r="I134" s="55"/>
      <c r="J134" s="55"/>
      <c r="K134" s="56"/>
      <c r="L134" s="57"/>
      <c r="M134" s="56"/>
      <c r="N134" s="57"/>
      <c r="O134" s="56"/>
      <c r="P134" s="57"/>
      <c r="Q134" s="56"/>
      <c r="R134" s="57"/>
    </row>
    <row r="135" spans="2:18">
      <c r="B135" s="13"/>
      <c r="C135" s="59"/>
      <c r="D135" s="59"/>
      <c r="E135" s="59"/>
      <c r="G135" s="55"/>
      <c r="H135" s="56"/>
      <c r="I135" s="55"/>
      <c r="J135" s="55"/>
      <c r="K135" s="56"/>
      <c r="L135" s="57"/>
      <c r="M135" s="56"/>
      <c r="N135" s="57"/>
      <c r="O135" s="56"/>
      <c r="P135" s="57"/>
      <c r="Q135" s="56"/>
      <c r="R135" s="57"/>
    </row>
    <row r="136" spans="2:18">
      <c r="B136" s="13"/>
      <c r="C136" s="59"/>
      <c r="D136" s="59"/>
      <c r="E136" s="59"/>
      <c r="G136" s="55"/>
      <c r="H136" s="56"/>
      <c r="I136" s="55"/>
      <c r="J136" s="55"/>
      <c r="K136" s="56"/>
      <c r="L136" s="57"/>
      <c r="M136" s="56"/>
      <c r="N136" s="57"/>
      <c r="O136" s="56"/>
      <c r="P136" s="57"/>
      <c r="Q136" s="56"/>
      <c r="R136" s="57"/>
    </row>
    <row r="137" spans="2:18">
      <c r="B137" s="13"/>
      <c r="C137" s="59"/>
      <c r="D137" s="59"/>
      <c r="E137" s="59"/>
      <c r="G137" s="55"/>
      <c r="H137" s="56"/>
      <c r="I137" s="55"/>
      <c r="J137" s="55"/>
      <c r="K137" s="56"/>
      <c r="L137" s="57"/>
      <c r="M137" s="56"/>
      <c r="N137" s="57"/>
      <c r="O137" s="56"/>
      <c r="P137" s="57"/>
      <c r="Q137" s="56"/>
      <c r="R137" s="57"/>
    </row>
    <row r="138" spans="2:18">
      <c r="B138" s="13"/>
      <c r="C138" s="59"/>
      <c r="D138" s="59"/>
      <c r="E138" s="59"/>
      <c r="G138" s="55"/>
      <c r="H138" s="56"/>
      <c r="I138" s="55"/>
      <c r="J138" s="55"/>
      <c r="K138" s="56"/>
      <c r="L138" s="57"/>
      <c r="M138" s="56"/>
      <c r="N138" s="57"/>
      <c r="O138" s="56"/>
      <c r="P138" s="57"/>
      <c r="Q138" s="56"/>
      <c r="R138" s="57"/>
    </row>
    <row r="139" spans="2:18">
      <c r="B139" s="13"/>
      <c r="C139" s="59"/>
      <c r="D139" s="59"/>
      <c r="E139" s="59"/>
      <c r="G139" s="55"/>
      <c r="H139" s="56"/>
      <c r="I139" s="55"/>
      <c r="J139" s="55"/>
      <c r="K139" s="56"/>
      <c r="L139" s="57"/>
      <c r="M139" s="56"/>
      <c r="N139" s="57"/>
      <c r="O139" s="56"/>
      <c r="P139" s="57"/>
      <c r="Q139" s="56"/>
      <c r="R139" s="57"/>
    </row>
    <row r="140" spans="2:18">
      <c r="B140" s="13"/>
      <c r="C140" s="59"/>
      <c r="D140" s="59"/>
      <c r="E140" s="59"/>
      <c r="G140" s="55"/>
      <c r="H140" s="56"/>
      <c r="I140" s="55"/>
      <c r="J140" s="55"/>
      <c r="K140" s="56"/>
      <c r="L140" s="57"/>
      <c r="M140" s="56"/>
      <c r="N140" s="57"/>
      <c r="O140" s="56"/>
      <c r="P140" s="57"/>
      <c r="Q140" s="56"/>
      <c r="R140" s="57"/>
    </row>
    <row r="141" spans="2:18">
      <c r="B141" s="13"/>
      <c r="C141" s="59"/>
      <c r="D141" s="59"/>
      <c r="E141" s="59"/>
      <c r="G141" s="55"/>
      <c r="H141" s="56"/>
      <c r="I141" s="55"/>
      <c r="J141" s="55"/>
      <c r="K141" s="56"/>
      <c r="L141" s="57"/>
      <c r="M141" s="56"/>
      <c r="N141" s="57"/>
      <c r="O141" s="56"/>
      <c r="P141" s="57"/>
      <c r="Q141" s="56"/>
      <c r="R141" s="57"/>
    </row>
    <row r="142" spans="2:18">
      <c r="B142" s="13"/>
      <c r="C142" s="59"/>
      <c r="D142" s="59"/>
      <c r="E142" s="59"/>
      <c r="G142" s="55"/>
      <c r="H142" s="56"/>
      <c r="I142" s="55"/>
      <c r="J142" s="55"/>
      <c r="K142" s="56"/>
      <c r="L142" s="57"/>
      <c r="M142" s="56"/>
      <c r="N142" s="57"/>
      <c r="O142" s="56"/>
      <c r="P142" s="57"/>
      <c r="Q142" s="56"/>
      <c r="R142" s="57"/>
    </row>
    <row r="143" spans="2:18">
      <c r="B143" s="13"/>
      <c r="C143" s="59"/>
      <c r="D143" s="59"/>
      <c r="E143" s="59"/>
      <c r="G143" s="55"/>
      <c r="H143" s="56"/>
      <c r="I143" s="55"/>
      <c r="J143" s="55"/>
      <c r="K143" s="56"/>
      <c r="L143" s="57"/>
      <c r="M143" s="56"/>
      <c r="N143" s="57"/>
      <c r="O143" s="56"/>
      <c r="P143" s="57"/>
      <c r="Q143" s="56"/>
      <c r="R143" s="57"/>
    </row>
    <row r="144" spans="2:18">
      <c r="B144" s="13"/>
      <c r="C144" s="59"/>
      <c r="D144" s="59"/>
      <c r="E144" s="59"/>
      <c r="G144" s="55"/>
      <c r="H144" s="56"/>
      <c r="I144" s="55"/>
      <c r="J144" s="55"/>
      <c r="K144" s="56"/>
      <c r="L144" s="57"/>
      <c r="M144" s="56"/>
      <c r="N144" s="57"/>
      <c r="O144" s="56"/>
      <c r="P144" s="57"/>
      <c r="Q144" s="56"/>
      <c r="R144" s="57"/>
    </row>
    <row r="145" spans="2:18">
      <c r="B145" s="13"/>
      <c r="C145" s="59"/>
      <c r="D145" s="59"/>
      <c r="E145" s="59"/>
      <c r="G145" s="55"/>
      <c r="H145" s="56"/>
      <c r="I145" s="55"/>
      <c r="J145" s="55"/>
      <c r="K145" s="56"/>
      <c r="L145" s="57"/>
      <c r="M145" s="56"/>
      <c r="N145" s="57"/>
      <c r="O145" s="56"/>
      <c r="P145" s="57"/>
      <c r="Q145" s="56"/>
      <c r="R145" s="57"/>
    </row>
    <row r="146" spans="2:18">
      <c r="B146" s="13"/>
      <c r="C146" s="59"/>
      <c r="D146" s="59"/>
      <c r="E146" s="59"/>
      <c r="G146" s="55"/>
      <c r="H146" s="56"/>
      <c r="I146" s="55"/>
      <c r="J146" s="55"/>
      <c r="K146" s="56"/>
      <c r="L146" s="57"/>
      <c r="M146" s="56"/>
      <c r="N146" s="57"/>
      <c r="O146" s="56"/>
      <c r="P146" s="57"/>
      <c r="Q146" s="56"/>
      <c r="R146" s="57"/>
    </row>
    <row r="147" spans="2:18">
      <c r="B147" s="13"/>
      <c r="C147" s="59"/>
      <c r="D147" s="59"/>
      <c r="E147" s="59"/>
      <c r="G147" s="55"/>
      <c r="H147" s="56"/>
      <c r="I147" s="55"/>
      <c r="J147" s="55"/>
      <c r="K147" s="56"/>
      <c r="L147" s="57"/>
      <c r="M147" s="56"/>
      <c r="N147" s="57"/>
      <c r="O147" s="56"/>
      <c r="P147" s="57"/>
      <c r="Q147" s="56"/>
      <c r="R147" s="57"/>
    </row>
    <row r="148" spans="2:18">
      <c r="B148" s="13"/>
      <c r="C148" s="59"/>
      <c r="D148" s="59"/>
      <c r="E148" s="59"/>
      <c r="G148" s="55"/>
      <c r="H148" s="56"/>
      <c r="I148" s="55"/>
      <c r="J148" s="55"/>
      <c r="K148" s="56"/>
      <c r="L148" s="57"/>
      <c r="M148" s="56"/>
      <c r="N148" s="57"/>
      <c r="O148" s="56"/>
      <c r="P148" s="57"/>
      <c r="Q148" s="56"/>
      <c r="R148" s="57"/>
    </row>
    <row r="149" spans="2:18">
      <c r="B149" s="13"/>
      <c r="C149" s="59"/>
      <c r="D149" s="59"/>
      <c r="E149" s="59"/>
      <c r="G149" s="55"/>
      <c r="H149" s="56"/>
      <c r="I149" s="55"/>
      <c r="J149" s="55"/>
      <c r="K149" s="56"/>
      <c r="L149" s="57"/>
      <c r="M149" s="56"/>
      <c r="N149" s="57"/>
      <c r="O149" s="56"/>
      <c r="P149" s="57"/>
      <c r="Q149" s="56"/>
      <c r="R149" s="57"/>
    </row>
    <row r="150" spans="2:18">
      <c r="B150" s="13"/>
      <c r="C150" s="59"/>
      <c r="D150" s="59"/>
      <c r="E150" s="59"/>
      <c r="G150" s="55"/>
      <c r="H150" s="56"/>
      <c r="I150" s="55"/>
      <c r="J150" s="55"/>
      <c r="K150" s="56"/>
      <c r="L150" s="57"/>
      <c r="M150" s="56"/>
      <c r="N150" s="57"/>
      <c r="O150" s="56"/>
      <c r="P150" s="57"/>
      <c r="Q150" s="56"/>
      <c r="R150" s="57"/>
    </row>
    <row r="151" spans="2:18">
      <c r="B151" s="13"/>
      <c r="C151" s="59"/>
      <c r="D151" s="59"/>
      <c r="E151" s="59"/>
      <c r="G151" s="55"/>
      <c r="H151" s="56"/>
      <c r="I151" s="55"/>
      <c r="J151" s="55"/>
      <c r="K151" s="56"/>
      <c r="L151" s="57"/>
      <c r="M151" s="56"/>
      <c r="N151" s="57"/>
      <c r="O151" s="56"/>
      <c r="P151" s="57"/>
      <c r="Q151" s="56"/>
      <c r="R151" s="57"/>
    </row>
    <row r="152" spans="2:18">
      <c r="B152" s="13"/>
      <c r="C152" s="59"/>
      <c r="D152" s="59"/>
      <c r="E152" s="59"/>
      <c r="G152" s="55"/>
      <c r="H152" s="56"/>
      <c r="I152" s="55"/>
      <c r="J152" s="55"/>
      <c r="K152" s="56"/>
      <c r="L152" s="57"/>
      <c r="M152" s="56"/>
      <c r="N152" s="57"/>
      <c r="O152" s="56"/>
      <c r="P152" s="57"/>
      <c r="Q152" s="56"/>
      <c r="R152" s="57"/>
    </row>
    <row r="153" spans="2:18">
      <c r="B153" s="13"/>
      <c r="C153" s="59"/>
      <c r="D153" s="59"/>
      <c r="E153" s="59"/>
      <c r="G153" s="55"/>
      <c r="H153" s="56"/>
      <c r="I153" s="55"/>
      <c r="J153" s="55"/>
      <c r="K153" s="56"/>
      <c r="L153" s="57"/>
      <c r="M153" s="56"/>
      <c r="N153" s="57"/>
      <c r="O153" s="56"/>
      <c r="P153" s="57"/>
      <c r="Q153" s="56"/>
      <c r="R153" s="57"/>
    </row>
    <row r="154" spans="2:18">
      <c r="B154" s="13"/>
      <c r="C154" s="59"/>
      <c r="D154" s="59"/>
      <c r="E154" s="59"/>
      <c r="G154" s="55"/>
      <c r="H154" s="56"/>
      <c r="I154" s="55"/>
      <c r="J154" s="55"/>
      <c r="K154" s="56"/>
      <c r="L154" s="57"/>
      <c r="M154" s="56"/>
      <c r="N154" s="57"/>
      <c r="O154" s="56"/>
      <c r="P154" s="57"/>
      <c r="Q154" s="56"/>
      <c r="R154" s="57"/>
    </row>
    <row r="155" spans="2:18">
      <c r="B155" s="13"/>
      <c r="C155" s="59"/>
      <c r="D155" s="59"/>
      <c r="E155" s="59"/>
      <c r="G155" s="55"/>
      <c r="H155" s="56"/>
      <c r="I155" s="55"/>
      <c r="J155" s="55"/>
      <c r="K155" s="56"/>
      <c r="L155" s="57"/>
      <c r="M155" s="56"/>
      <c r="N155" s="57"/>
      <c r="O155" s="56"/>
      <c r="P155" s="57"/>
      <c r="Q155" s="56"/>
      <c r="R155" s="57"/>
    </row>
    <row r="156" spans="2:18">
      <c r="B156" s="13"/>
      <c r="C156" s="59"/>
      <c r="D156" s="59"/>
      <c r="E156" s="59"/>
      <c r="G156" s="55"/>
      <c r="H156" s="56"/>
      <c r="I156" s="55"/>
      <c r="J156" s="55"/>
      <c r="K156" s="56"/>
      <c r="L156" s="57"/>
      <c r="M156" s="56"/>
      <c r="N156" s="57"/>
      <c r="O156" s="56"/>
      <c r="P156" s="57"/>
      <c r="Q156" s="56"/>
      <c r="R156" s="57"/>
    </row>
    <row r="157" spans="2:18">
      <c r="B157" s="13"/>
      <c r="C157" s="59"/>
      <c r="D157" s="59"/>
      <c r="E157" s="59"/>
      <c r="G157" s="55"/>
      <c r="H157" s="56"/>
      <c r="I157" s="55"/>
      <c r="J157" s="55"/>
      <c r="K157" s="56"/>
      <c r="L157" s="57"/>
      <c r="M157" s="56"/>
      <c r="N157" s="57"/>
      <c r="O157" s="56"/>
      <c r="P157" s="57"/>
      <c r="Q157" s="56"/>
      <c r="R157" s="57"/>
    </row>
    <row r="158" spans="2:18">
      <c r="B158" s="13"/>
      <c r="C158" s="59"/>
      <c r="D158" s="59"/>
      <c r="E158" s="59"/>
      <c r="G158" s="55"/>
      <c r="H158" s="56"/>
      <c r="I158" s="55"/>
      <c r="J158" s="55"/>
      <c r="K158" s="56"/>
      <c r="L158" s="57"/>
      <c r="M158" s="56"/>
      <c r="N158" s="57"/>
      <c r="O158" s="56"/>
      <c r="P158" s="57"/>
      <c r="Q158" s="56"/>
      <c r="R158" s="57"/>
    </row>
    <row r="159" spans="2:18">
      <c r="B159" s="13"/>
      <c r="C159" s="59"/>
      <c r="D159" s="59"/>
      <c r="E159" s="59"/>
      <c r="G159" s="55"/>
      <c r="H159" s="56"/>
      <c r="I159" s="55"/>
      <c r="J159" s="55"/>
      <c r="K159" s="56"/>
      <c r="L159" s="57"/>
      <c r="M159" s="56"/>
      <c r="N159" s="57"/>
      <c r="O159" s="56"/>
      <c r="P159" s="57"/>
      <c r="Q159" s="56"/>
      <c r="R159" s="57"/>
    </row>
    <row r="160" spans="2:18">
      <c r="B160" s="13"/>
      <c r="C160" s="59"/>
      <c r="D160" s="59"/>
      <c r="E160" s="59"/>
      <c r="G160" s="55"/>
      <c r="H160" s="56"/>
      <c r="I160" s="55"/>
      <c r="J160" s="55"/>
      <c r="K160" s="56"/>
      <c r="L160" s="57"/>
      <c r="M160" s="56"/>
      <c r="N160" s="57"/>
      <c r="O160" s="56"/>
      <c r="P160" s="57"/>
      <c r="Q160" s="56"/>
      <c r="R160" s="57"/>
    </row>
    <row r="161" spans="2:18">
      <c r="B161" s="13"/>
      <c r="C161" s="59"/>
      <c r="D161" s="59"/>
      <c r="E161" s="59"/>
      <c r="G161" s="55"/>
      <c r="H161" s="56"/>
      <c r="I161" s="55"/>
      <c r="J161" s="55"/>
      <c r="K161" s="56"/>
      <c r="L161" s="57"/>
      <c r="M161" s="56"/>
      <c r="N161" s="57"/>
      <c r="O161" s="56"/>
      <c r="P161" s="57"/>
      <c r="Q161" s="56"/>
      <c r="R161" s="57"/>
    </row>
    <row r="162" spans="2:18">
      <c r="B162" s="13"/>
      <c r="C162" s="59"/>
      <c r="D162" s="59"/>
      <c r="E162" s="59"/>
      <c r="G162" s="55"/>
      <c r="H162" s="56"/>
      <c r="I162" s="55"/>
      <c r="J162" s="55"/>
      <c r="K162" s="56"/>
      <c r="L162" s="57"/>
      <c r="M162" s="56"/>
      <c r="N162" s="57"/>
      <c r="O162" s="56"/>
      <c r="P162" s="57"/>
      <c r="Q162" s="56"/>
      <c r="R162" s="57"/>
    </row>
    <row r="163" spans="2:18">
      <c r="B163" s="13"/>
      <c r="C163" s="59"/>
      <c r="D163" s="59"/>
      <c r="E163" s="59"/>
      <c r="G163" s="55"/>
      <c r="H163" s="56"/>
      <c r="I163" s="55"/>
      <c r="J163" s="55"/>
      <c r="K163" s="56"/>
      <c r="L163" s="57"/>
      <c r="M163" s="56"/>
      <c r="N163" s="57"/>
      <c r="O163" s="56"/>
      <c r="P163" s="57"/>
      <c r="Q163" s="56"/>
      <c r="R163" s="57"/>
    </row>
    <row r="164" spans="2:18">
      <c r="B164" s="13"/>
      <c r="C164" s="59"/>
      <c r="D164" s="59"/>
      <c r="E164" s="59"/>
      <c r="G164" s="55"/>
      <c r="H164" s="56"/>
      <c r="I164" s="55"/>
      <c r="J164" s="55"/>
      <c r="K164" s="56"/>
      <c r="L164" s="57"/>
      <c r="M164" s="56"/>
      <c r="N164" s="57"/>
      <c r="O164" s="56"/>
      <c r="P164" s="57"/>
      <c r="Q164" s="56"/>
      <c r="R164" s="57"/>
    </row>
    <row r="165" spans="2:18">
      <c r="B165" s="13"/>
      <c r="C165" s="59"/>
      <c r="D165" s="59"/>
      <c r="E165" s="59"/>
      <c r="G165" s="55"/>
      <c r="H165" s="56"/>
      <c r="I165" s="55"/>
      <c r="J165" s="55"/>
      <c r="K165" s="56"/>
      <c r="L165" s="57"/>
      <c r="M165" s="56"/>
      <c r="N165" s="57"/>
      <c r="O165" s="56"/>
      <c r="P165" s="57"/>
      <c r="Q165" s="56"/>
      <c r="R165" s="57"/>
    </row>
    <row r="166" spans="2:18">
      <c r="B166" s="13"/>
      <c r="C166" s="59"/>
      <c r="D166" s="59"/>
      <c r="E166" s="59"/>
      <c r="G166" s="55"/>
      <c r="H166" s="56"/>
      <c r="I166" s="55"/>
      <c r="J166" s="55"/>
      <c r="K166" s="56"/>
      <c r="L166" s="57"/>
      <c r="M166" s="56"/>
      <c r="N166" s="57"/>
      <c r="O166" s="56"/>
      <c r="P166" s="57"/>
      <c r="Q166" s="56"/>
      <c r="R166" s="57"/>
    </row>
    <row r="167" spans="2:18">
      <c r="B167" s="13"/>
      <c r="C167" s="59"/>
      <c r="D167" s="59"/>
      <c r="E167" s="59"/>
      <c r="G167" s="55"/>
      <c r="H167" s="56"/>
      <c r="I167" s="55"/>
      <c r="J167" s="55"/>
      <c r="K167" s="56"/>
      <c r="L167" s="57"/>
      <c r="M167" s="56"/>
      <c r="N167" s="57"/>
      <c r="O167" s="56"/>
      <c r="P167" s="57"/>
      <c r="Q167" s="56"/>
      <c r="R167" s="57"/>
    </row>
    <row r="168" spans="2:18">
      <c r="B168" s="13"/>
      <c r="C168" s="59"/>
      <c r="D168" s="59"/>
      <c r="E168" s="59"/>
      <c r="G168" s="55"/>
      <c r="H168" s="56"/>
      <c r="I168" s="55"/>
      <c r="J168" s="55"/>
      <c r="K168" s="56"/>
      <c r="L168" s="57"/>
      <c r="M168" s="56"/>
      <c r="N168" s="57"/>
      <c r="O168" s="56"/>
      <c r="P168" s="57"/>
      <c r="Q168" s="56"/>
      <c r="R168" s="57"/>
    </row>
    <row r="169" spans="2:18">
      <c r="B169" s="13"/>
      <c r="C169" s="59"/>
      <c r="D169" s="59"/>
      <c r="E169" s="59"/>
      <c r="G169" s="55"/>
      <c r="H169" s="56"/>
      <c r="I169" s="55"/>
      <c r="J169" s="55"/>
      <c r="K169" s="56"/>
      <c r="L169" s="57"/>
      <c r="M169" s="56"/>
      <c r="N169" s="57"/>
      <c r="O169" s="56"/>
      <c r="P169" s="57"/>
      <c r="Q169" s="56"/>
      <c r="R169" s="57"/>
    </row>
    <row r="170" spans="2:18">
      <c r="B170" s="13"/>
      <c r="C170" s="59"/>
      <c r="D170" s="59"/>
      <c r="E170" s="59"/>
      <c r="G170" s="55"/>
      <c r="H170" s="56"/>
      <c r="I170" s="55"/>
      <c r="J170" s="55"/>
      <c r="K170" s="56"/>
      <c r="L170" s="57"/>
      <c r="M170" s="56"/>
      <c r="N170" s="57"/>
      <c r="O170" s="56"/>
      <c r="P170" s="57"/>
      <c r="Q170" s="56"/>
      <c r="R170" s="57"/>
    </row>
    <row r="171" spans="2:18">
      <c r="B171" s="13"/>
      <c r="C171" s="59"/>
      <c r="D171" s="59"/>
      <c r="E171" s="59"/>
      <c r="G171" s="55"/>
      <c r="H171" s="56"/>
      <c r="I171" s="55"/>
      <c r="J171" s="55"/>
      <c r="K171" s="56"/>
      <c r="L171" s="57"/>
      <c r="M171" s="56"/>
      <c r="N171" s="57"/>
      <c r="O171" s="56"/>
      <c r="P171" s="57"/>
      <c r="Q171" s="56"/>
      <c r="R171" s="57"/>
    </row>
    <row r="172" spans="2:18">
      <c r="B172" s="13"/>
      <c r="C172" s="59"/>
      <c r="D172" s="59"/>
      <c r="E172" s="59"/>
      <c r="G172" s="55"/>
      <c r="H172" s="56"/>
      <c r="I172" s="55"/>
      <c r="J172" s="55"/>
      <c r="K172" s="56"/>
      <c r="L172" s="57"/>
      <c r="M172" s="56"/>
      <c r="N172" s="57"/>
      <c r="O172" s="56"/>
      <c r="P172" s="57"/>
      <c r="Q172" s="56"/>
      <c r="R172" s="57"/>
    </row>
    <row r="173" spans="2:18">
      <c r="B173" s="13"/>
      <c r="C173" s="59"/>
      <c r="D173" s="59"/>
      <c r="E173" s="59"/>
      <c r="G173" s="55"/>
      <c r="H173" s="56"/>
      <c r="I173" s="55"/>
      <c r="J173" s="55"/>
      <c r="K173" s="56"/>
      <c r="L173" s="57"/>
      <c r="M173" s="56"/>
      <c r="N173" s="57"/>
      <c r="O173" s="56"/>
      <c r="P173" s="57"/>
      <c r="Q173" s="56"/>
      <c r="R173" s="57"/>
    </row>
    <row r="174" spans="2:18">
      <c r="B174" s="13"/>
      <c r="C174" s="59"/>
      <c r="D174" s="59"/>
      <c r="E174" s="59"/>
      <c r="G174" s="55"/>
      <c r="H174" s="56"/>
      <c r="I174" s="55"/>
      <c r="J174" s="55"/>
      <c r="K174" s="56"/>
      <c r="L174" s="57"/>
      <c r="M174" s="56"/>
      <c r="N174" s="57"/>
      <c r="O174" s="56"/>
      <c r="P174" s="57"/>
      <c r="Q174" s="56"/>
      <c r="R174" s="57"/>
    </row>
    <row r="175" spans="2:18">
      <c r="B175" s="13"/>
      <c r="C175" s="59"/>
      <c r="D175" s="59"/>
      <c r="E175" s="59"/>
      <c r="G175" s="55"/>
      <c r="H175" s="56"/>
      <c r="I175" s="55"/>
      <c r="J175" s="55"/>
      <c r="K175" s="56"/>
      <c r="L175" s="57"/>
      <c r="M175" s="56"/>
      <c r="N175" s="57"/>
      <c r="O175" s="56"/>
      <c r="P175" s="57"/>
      <c r="Q175" s="56"/>
      <c r="R175" s="57"/>
    </row>
    <row r="176" spans="2:18">
      <c r="B176" s="13"/>
      <c r="C176" s="59"/>
      <c r="D176" s="59"/>
      <c r="E176" s="59"/>
      <c r="G176" s="55"/>
      <c r="H176" s="56"/>
      <c r="I176" s="55"/>
      <c r="J176" s="55"/>
      <c r="K176" s="56"/>
      <c r="L176" s="57"/>
      <c r="M176" s="56"/>
      <c r="N176" s="57"/>
      <c r="O176" s="56"/>
      <c r="P176" s="57"/>
      <c r="Q176" s="56"/>
      <c r="R176" s="57"/>
    </row>
    <row r="177" spans="2:18">
      <c r="B177" s="13"/>
      <c r="C177" s="59"/>
      <c r="D177" s="59"/>
      <c r="E177" s="59"/>
      <c r="G177" s="55"/>
      <c r="H177" s="56"/>
      <c r="I177" s="55"/>
      <c r="J177" s="55"/>
      <c r="K177" s="56"/>
      <c r="L177" s="57"/>
      <c r="M177" s="56"/>
      <c r="N177" s="57"/>
      <c r="O177" s="56"/>
      <c r="P177" s="57"/>
      <c r="Q177" s="56"/>
      <c r="R177" s="57"/>
    </row>
    <row r="178" spans="2:18">
      <c r="B178" s="13"/>
      <c r="C178" s="59"/>
      <c r="D178" s="59"/>
      <c r="E178" s="59"/>
      <c r="G178" s="55"/>
      <c r="H178" s="56"/>
      <c r="I178" s="55"/>
      <c r="J178" s="55"/>
      <c r="K178" s="56"/>
      <c r="L178" s="57"/>
      <c r="M178" s="56"/>
      <c r="N178" s="57"/>
      <c r="O178" s="56"/>
      <c r="P178" s="57"/>
      <c r="Q178" s="56"/>
      <c r="R178" s="57"/>
    </row>
    <row r="179" spans="2:18">
      <c r="B179" s="13"/>
      <c r="C179" s="59"/>
      <c r="D179" s="59"/>
      <c r="E179" s="59"/>
      <c r="G179" s="55"/>
      <c r="H179" s="56"/>
      <c r="I179" s="55"/>
      <c r="J179" s="55"/>
      <c r="K179" s="56"/>
      <c r="L179" s="57"/>
      <c r="M179" s="56"/>
      <c r="N179" s="57"/>
      <c r="O179" s="56"/>
      <c r="P179" s="57"/>
      <c r="Q179" s="56"/>
      <c r="R179" s="57"/>
    </row>
    <row r="180" spans="2:18">
      <c r="B180" s="13"/>
      <c r="C180" s="59"/>
      <c r="D180" s="59"/>
      <c r="E180" s="59"/>
      <c r="G180" s="55"/>
      <c r="H180" s="56"/>
      <c r="I180" s="55"/>
      <c r="J180" s="55"/>
      <c r="K180" s="56"/>
      <c r="L180" s="57"/>
      <c r="M180" s="56"/>
      <c r="N180" s="57"/>
      <c r="O180" s="56"/>
      <c r="P180" s="57"/>
      <c r="Q180" s="56"/>
      <c r="R180" s="57"/>
    </row>
    <row r="181" spans="2:18">
      <c r="B181" s="13"/>
      <c r="C181" s="59"/>
      <c r="D181" s="59"/>
      <c r="E181" s="59"/>
      <c r="G181" s="55"/>
      <c r="H181" s="56"/>
      <c r="I181" s="55"/>
      <c r="J181" s="55"/>
      <c r="K181" s="56"/>
      <c r="L181" s="57"/>
      <c r="M181" s="56"/>
      <c r="N181" s="57"/>
      <c r="O181" s="56"/>
      <c r="P181" s="57"/>
      <c r="Q181" s="56"/>
      <c r="R181" s="57"/>
    </row>
    <row r="182" spans="2:18">
      <c r="B182" s="13"/>
      <c r="C182" s="59"/>
      <c r="D182" s="59"/>
      <c r="E182" s="59"/>
      <c r="G182" s="55"/>
      <c r="H182" s="56"/>
      <c r="I182" s="55"/>
      <c r="J182" s="55"/>
      <c r="K182" s="56"/>
      <c r="L182" s="57"/>
      <c r="M182" s="56"/>
      <c r="N182" s="57"/>
      <c r="O182" s="56"/>
      <c r="P182" s="57"/>
      <c r="Q182" s="56"/>
      <c r="R182" s="57"/>
    </row>
    <row r="183" spans="2:18">
      <c r="B183" s="13"/>
      <c r="C183" s="59"/>
      <c r="D183" s="59"/>
      <c r="E183" s="59"/>
      <c r="G183" s="55"/>
      <c r="H183" s="56"/>
      <c r="I183" s="55"/>
      <c r="J183" s="55"/>
      <c r="K183" s="56"/>
      <c r="L183" s="57"/>
      <c r="M183" s="56"/>
      <c r="N183" s="57"/>
      <c r="O183" s="56"/>
      <c r="P183" s="57"/>
      <c r="Q183" s="56"/>
      <c r="R183" s="57"/>
    </row>
    <row r="184" spans="2:18">
      <c r="B184" s="13"/>
      <c r="C184" s="59"/>
      <c r="D184" s="59"/>
      <c r="E184" s="59"/>
      <c r="G184" s="55"/>
      <c r="H184" s="56"/>
      <c r="I184" s="55"/>
      <c r="J184" s="55"/>
      <c r="K184" s="56"/>
      <c r="L184" s="57"/>
      <c r="M184" s="56"/>
      <c r="N184" s="57"/>
      <c r="O184" s="56"/>
      <c r="P184" s="57"/>
      <c r="Q184" s="56"/>
      <c r="R184" s="57"/>
    </row>
    <row r="185" spans="2:18">
      <c r="B185" s="13"/>
      <c r="C185" s="59"/>
      <c r="D185" s="59"/>
      <c r="E185" s="59"/>
      <c r="G185" s="55"/>
      <c r="H185" s="56"/>
      <c r="I185" s="55"/>
      <c r="J185" s="55"/>
      <c r="K185" s="56"/>
      <c r="L185" s="57"/>
      <c r="M185" s="56"/>
      <c r="N185" s="57"/>
      <c r="O185" s="56"/>
      <c r="P185" s="57"/>
      <c r="Q185" s="56"/>
      <c r="R185" s="57"/>
    </row>
    <row r="186" spans="2:18">
      <c r="B186" s="13"/>
      <c r="C186" s="59"/>
      <c r="D186" s="59"/>
      <c r="E186" s="59"/>
      <c r="G186" s="55"/>
      <c r="H186" s="56"/>
      <c r="I186" s="55"/>
      <c r="J186" s="55"/>
      <c r="K186" s="56"/>
      <c r="L186" s="57"/>
      <c r="M186" s="56"/>
      <c r="N186" s="57"/>
      <c r="O186" s="56"/>
      <c r="P186" s="57"/>
      <c r="Q186" s="56"/>
      <c r="R186" s="57"/>
    </row>
    <row r="187" spans="2:18">
      <c r="B187" s="13"/>
      <c r="C187" s="59"/>
      <c r="D187" s="59"/>
      <c r="E187" s="59"/>
      <c r="G187" s="55"/>
      <c r="H187" s="56"/>
      <c r="I187" s="55"/>
      <c r="J187" s="55"/>
      <c r="K187" s="56"/>
      <c r="L187" s="57"/>
      <c r="M187" s="56"/>
      <c r="N187" s="57"/>
      <c r="O187" s="56"/>
      <c r="P187" s="57"/>
      <c r="Q187" s="56"/>
      <c r="R187" s="57"/>
    </row>
    <row r="188" spans="2:18">
      <c r="B188" s="13"/>
      <c r="C188" s="59"/>
      <c r="D188" s="59"/>
      <c r="E188" s="59"/>
      <c r="G188" s="55"/>
      <c r="H188" s="56"/>
      <c r="I188" s="55"/>
      <c r="J188" s="55"/>
      <c r="K188" s="56"/>
      <c r="L188" s="57"/>
      <c r="M188" s="56"/>
      <c r="N188" s="57"/>
      <c r="O188" s="56"/>
      <c r="P188" s="57"/>
      <c r="Q188" s="56"/>
      <c r="R188" s="57"/>
    </row>
    <row r="189" spans="2:18">
      <c r="B189" s="13"/>
      <c r="C189" s="59"/>
      <c r="D189" s="59"/>
      <c r="E189" s="59"/>
      <c r="G189" s="55"/>
      <c r="H189" s="56"/>
      <c r="I189" s="55"/>
      <c r="J189" s="55"/>
      <c r="K189" s="56"/>
      <c r="L189" s="57"/>
      <c r="M189" s="56"/>
      <c r="N189" s="57"/>
      <c r="O189" s="56"/>
      <c r="P189" s="57"/>
      <c r="Q189" s="56"/>
      <c r="R189" s="57"/>
    </row>
    <row r="190" spans="2:18">
      <c r="B190" s="13"/>
      <c r="C190" s="59"/>
      <c r="D190" s="59"/>
      <c r="E190" s="59"/>
      <c r="G190" s="55"/>
      <c r="H190" s="56"/>
      <c r="I190" s="55"/>
      <c r="J190" s="55"/>
      <c r="K190" s="56"/>
      <c r="L190" s="57"/>
      <c r="M190" s="56"/>
      <c r="N190" s="57"/>
      <c r="O190" s="56"/>
      <c r="P190" s="57"/>
      <c r="Q190" s="56"/>
      <c r="R190" s="57"/>
    </row>
    <row r="191" spans="2:18">
      <c r="B191" s="13"/>
      <c r="C191" s="59"/>
      <c r="D191" s="59"/>
      <c r="E191" s="59"/>
      <c r="G191" s="55"/>
      <c r="H191" s="56"/>
      <c r="I191" s="55"/>
      <c r="J191" s="55"/>
      <c r="K191" s="56"/>
      <c r="L191" s="57"/>
      <c r="M191" s="56"/>
      <c r="N191" s="57"/>
      <c r="O191" s="56"/>
      <c r="P191" s="57"/>
      <c r="Q191" s="56"/>
      <c r="R191" s="57"/>
    </row>
    <row r="192" spans="2:18">
      <c r="B192" s="13"/>
      <c r="C192" s="59"/>
      <c r="D192" s="59"/>
      <c r="E192" s="59"/>
      <c r="G192" s="55"/>
      <c r="H192" s="56"/>
      <c r="I192" s="55"/>
      <c r="J192" s="55"/>
      <c r="K192" s="56"/>
      <c r="L192" s="57"/>
      <c r="M192" s="56"/>
      <c r="N192" s="57"/>
      <c r="O192" s="56"/>
      <c r="P192" s="57"/>
      <c r="Q192" s="56"/>
      <c r="R192" s="57"/>
    </row>
    <row r="193" spans="2:18">
      <c r="B193" s="13"/>
      <c r="C193" s="59"/>
      <c r="D193" s="59"/>
      <c r="E193" s="59"/>
      <c r="G193" s="55"/>
      <c r="H193" s="56"/>
      <c r="I193" s="55"/>
      <c r="J193" s="55"/>
      <c r="K193" s="56"/>
      <c r="L193" s="57"/>
      <c r="M193" s="56"/>
      <c r="N193" s="57"/>
      <c r="O193" s="56"/>
      <c r="P193" s="57"/>
      <c r="Q193" s="56"/>
      <c r="R193" s="57"/>
    </row>
    <row r="194" spans="2:18">
      <c r="B194" s="13"/>
      <c r="C194" s="59"/>
      <c r="D194" s="59"/>
      <c r="E194" s="59"/>
      <c r="G194" s="55"/>
      <c r="H194" s="56"/>
      <c r="I194" s="55"/>
      <c r="J194" s="55"/>
      <c r="K194" s="56"/>
      <c r="L194" s="57"/>
      <c r="M194" s="56"/>
      <c r="N194" s="57"/>
      <c r="O194" s="56"/>
      <c r="P194" s="57"/>
      <c r="Q194" s="56"/>
      <c r="R194" s="57"/>
    </row>
    <row r="195" spans="2:18">
      <c r="B195" s="13"/>
      <c r="C195" s="59"/>
      <c r="D195" s="59"/>
      <c r="E195" s="59"/>
      <c r="G195" s="55"/>
      <c r="H195" s="56"/>
      <c r="I195" s="55"/>
      <c r="J195" s="55"/>
      <c r="K195" s="56"/>
      <c r="L195" s="57"/>
      <c r="M195" s="56"/>
      <c r="N195" s="57"/>
      <c r="O195" s="56"/>
      <c r="P195" s="57"/>
      <c r="Q195" s="56"/>
      <c r="R195" s="57"/>
    </row>
    <row r="196" spans="2:18">
      <c r="B196" s="13"/>
      <c r="C196" s="59"/>
      <c r="D196" s="59"/>
      <c r="E196" s="59"/>
      <c r="G196" s="55"/>
      <c r="H196" s="56"/>
      <c r="I196" s="55"/>
      <c r="J196" s="55"/>
      <c r="K196" s="56"/>
      <c r="L196" s="57"/>
      <c r="M196" s="56"/>
      <c r="N196" s="57"/>
      <c r="O196" s="56"/>
      <c r="P196" s="57"/>
      <c r="Q196" s="56"/>
      <c r="R196" s="57"/>
    </row>
    <row r="197" spans="2:18">
      <c r="B197" s="13"/>
      <c r="C197" s="59"/>
      <c r="D197" s="59"/>
      <c r="E197" s="59"/>
      <c r="G197" s="55"/>
      <c r="H197" s="56"/>
      <c r="I197" s="55"/>
      <c r="J197" s="55"/>
      <c r="K197" s="56"/>
      <c r="L197" s="57"/>
      <c r="M197" s="56"/>
      <c r="N197" s="57"/>
      <c r="O197" s="56"/>
      <c r="P197" s="57"/>
      <c r="Q197" s="56"/>
      <c r="R197" s="57"/>
    </row>
    <row r="198" spans="2:18">
      <c r="B198" s="13"/>
      <c r="C198" s="59"/>
      <c r="D198" s="59"/>
      <c r="E198" s="59"/>
      <c r="G198" s="55"/>
      <c r="H198" s="56"/>
      <c r="I198" s="55"/>
      <c r="J198" s="55"/>
      <c r="K198" s="56"/>
      <c r="L198" s="57"/>
      <c r="M198" s="56"/>
      <c r="N198" s="57"/>
      <c r="O198" s="56"/>
      <c r="P198" s="57"/>
      <c r="Q198" s="56"/>
      <c r="R198" s="57"/>
    </row>
    <row r="199" spans="2:18">
      <c r="B199" s="13"/>
      <c r="C199" s="59"/>
      <c r="D199" s="59"/>
      <c r="E199" s="59"/>
      <c r="G199" s="55"/>
      <c r="H199" s="56"/>
      <c r="I199" s="55"/>
      <c r="J199" s="55"/>
      <c r="K199" s="56"/>
      <c r="L199" s="57"/>
      <c r="M199" s="56"/>
      <c r="N199" s="57"/>
      <c r="O199" s="56"/>
      <c r="P199" s="57"/>
      <c r="Q199" s="56"/>
      <c r="R199" s="57"/>
    </row>
    <row r="200" spans="2:18">
      <c r="B200" s="13"/>
      <c r="C200" s="59"/>
      <c r="D200" s="59"/>
      <c r="E200" s="59"/>
      <c r="G200" s="55"/>
      <c r="H200" s="56"/>
      <c r="I200" s="55"/>
      <c r="J200" s="55"/>
      <c r="K200" s="56"/>
      <c r="L200" s="57"/>
      <c r="M200" s="56"/>
      <c r="N200" s="57"/>
      <c r="O200" s="56"/>
      <c r="P200" s="57"/>
      <c r="Q200" s="56"/>
      <c r="R200" s="57"/>
    </row>
    <row r="201" spans="2:18">
      <c r="B201" s="13"/>
      <c r="C201" s="59"/>
      <c r="D201" s="59"/>
      <c r="E201" s="59"/>
      <c r="G201" s="55"/>
      <c r="H201" s="56"/>
      <c r="I201" s="55"/>
      <c r="J201" s="55"/>
      <c r="K201" s="56"/>
      <c r="L201" s="57"/>
      <c r="M201" s="56"/>
      <c r="N201" s="57"/>
      <c r="O201" s="56"/>
      <c r="P201" s="57"/>
      <c r="Q201" s="56"/>
      <c r="R201" s="57"/>
    </row>
    <row r="202" spans="2:18">
      <c r="B202" s="13"/>
      <c r="C202" s="59"/>
      <c r="D202" s="59"/>
      <c r="E202" s="59"/>
      <c r="G202" s="55"/>
      <c r="H202" s="56"/>
      <c r="I202" s="55"/>
      <c r="J202" s="55"/>
      <c r="K202" s="56"/>
      <c r="L202" s="57"/>
      <c r="M202" s="56"/>
      <c r="N202" s="57"/>
      <c r="O202" s="56"/>
      <c r="P202" s="57"/>
      <c r="Q202" s="56"/>
      <c r="R202" s="57"/>
    </row>
    <row r="203" spans="2:18">
      <c r="B203" s="13"/>
      <c r="C203" s="59"/>
      <c r="D203" s="59"/>
      <c r="E203" s="59"/>
      <c r="G203" s="55"/>
      <c r="H203" s="56"/>
      <c r="I203" s="55"/>
      <c r="J203" s="55"/>
      <c r="K203" s="56"/>
      <c r="L203" s="57"/>
      <c r="M203" s="56"/>
      <c r="N203" s="57"/>
      <c r="O203" s="56"/>
      <c r="P203" s="57"/>
      <c r="Q203" s="56"/>
      <c r="R203" s="57"/>
    </row>
    <row r="204" spans="2:18">
      <c r="B204" s="13"/>
      <c r="C204" s="59"/>
      <c r="D204" s="59"/>
      <c r="E204" s="59"/>
      <c r="G204" s="55"/>
      <c r="H204" s="56"/>
      <c r="I204" s="55"/>
      <c r="J204" s="55"/>
      <c r="K204" s="56"/>
      <c r="L204" s="57"/>
      <c r="M204" s="56"/>
      <c r="N204" s="57"/>
      <c r="O204" s="56"/>
      <c r="P204" s="57"/>
      <c r="Q204" s="56"/>
      <c r="R204" s="57"/>
    </row>
    <row r="205" spans="2:18">
      <c r="B205" s="13"/>
      <c r="C205" s="59"/>
      <c r="D205" s="59"/>
      <c r="E205" s="59"/>
      <c r="G205" s="55"/>
      <c r="H205" s="56"/>
      <c r="I205" s="55"/>
      <c r="J205" s="55"/>
      <c r="K205" s="56"/>
      <c r="L205" s="57"/>
      <c r="M205" s="56"/>
      <c r="N205" s="57"/>
      <c r="O205" s="56"/>
      <c r="P205" s="57"/>
      <c r="Q205" s="56"/>
      <c r="R205" s="57"/>
    </row>
    <row r="206" spans="2:18">
      <c r="B206" s="13"/>
      <c r="C206" s="59"/>
      <c r="D206" s="59"/>
      <c r="E206" s="59"/>
      <c r="G206" s="55"/>
      <c r="H206" s="56"/>
      <c r="I206" s="55"/>
      <c r="J206" s="55"/>
      <c r="K206" s="56"/>
      <c r="L206" s="57"/>
      <c r="M206" s="56"/>
      <c r="N206" s="57"/>
      <c r="O206" s="56"/>
      <c r="P206" s="57"/>
      <c r="Q206" s="56"/>
      <c r="R206" s="57"/>
    </row>
    <row r="207" spans="2:18">
      <c r="B207" s="13"/>
      <c r="C207" s="59"/>
      <c r="D207" s="59"/>
      <c r="E207" s="59"/>
      <c r="G207" s="55"/>
      <c r="H207" s="56"/>
      <c r="I207" s="55"/>
      <c r="J207" s="55"/>
      <c r="K207" s="56"/>
      <c r="L207" s="57"/>
      <c r="M207" s="56"/>
      <c r="N207" s="57"/>
      <c r="O207" s="56"/>
      <c r="P207" s="57"/>
      <c r="Q207" s="56"/>
      <c r="R207" s="57"/>
    </row>
    <row r="208" spans="2:18">
      <c r="B208" s="13"/>
      <c r="C208" s="59"/>
      <c r="D208" s="59"/>
      <c r="E208" s="59"/>
      <c r="G208" s="55"/>
      <c r="H208" s="56"/>
      <c r="I208" s="55"/>
      <c r="J208" s="55"/>
      <c r="K208" s="56"/>
      <c r="L208" s="57"/>
      <c r="M208" s="56"/>
      <c r="N208" s="57"/>
      <c r="O208" s="56"/>
      <c r="P208" s="57"/>
      <c r="Q208" s="56"/>
      <c r="R208" s="57"/>
    </row>
    <row r="209" spans="2:18">
      <c r="B209" s="13"/>
      <c r="C209" s="59"/>
      <c r="D209" s="59"/>
      <c r="E209" s="59"/>
      <c r="G209" s="55"/>
      <c r="H209" s="56"/>
      <c r="I209" s="55"/>
      <c r="J209" s="55"/>
      <c r="K209" s="56"/>
      <c r="L209" s="57"/>
      <c r="M209" s="56"/>
      <c r="N209" s="57"/>
      <c r="O209" s="56"/>
      <c r="P209" s="57"/>
      <c r="Q209" s="56"/>
      <c r="R209" s="57"/>
    </row>
    <row r="210" spans="2:18">
      <c r="B210" s="13"/>
      <c r="C210" s="59"/>
      <c r="D210" s="59"/>
      <c r="E210" s="59"/>
      <c r="G210" s="55"/>
      <c r="H210" s="56"/>
      <c r="I210" s="55"/>
      <c r="J210" s="55"/>
      <c r="K210" s="56"/>
      <c r="L210" s="57"/>
      <c r="M210" s="56"/>
      <c r="N210" s="57"/>
      <c r="O210" s="56"/>
      <c r="P210" s="57"/>
      <c r="Q210" s="56"/>
      <c r="R210" s="57"/>
    </row>
    <row r="211" spans="2:18">
      <c r="B211" s="13"/>
      <c r="C211" s="59"/>
      <c r="D211" s="59"/>
      <c r="E211" s="59"/>
      <c r="G211" s="55"/>
      <c r="H211" s="56"/>
      <c r="I211" s="55"/>
      <c r="J211" s="55"/>
      <c r="K211" s="56"/>
      <c r="L211" s="57"/>
      <c r="M211" s="56"/>
      <c r="N211" s="57"/>
      <c r="O211" s="56"/>
      <c r="P211" s="57"/>
      <c r="Q211" s="56"/>
      <c r="R211" s="57"/>
    </row>
    <row r="212" spans="2:18">
      <c r="B212" s="13"/>
      <c r="C212" s="59"/>
      <c r="D212" s="59"/>
      <c r="E212" s="59"/>
      <c r="G212" s="55"/>
      <c r="H212" s="56"/>
      <c r="I212" s="55"/>
      <c r="J212" s="55"/>
      <c r="K212" s="56"/>
      <c r="L212" s="57"/>
      <c r="M212" s="56"/>
      <c r="N212" s="57"/>
      <c r="O212" s="56"/>
      <c r="P212" s="57"/>
      <c r="Q212" s="56"/>
      <c r="R212" s="57"/>
    </row>
  </sheetData>
  <phoneticPr fontId="4"/>
  <dataValidations count="1">
    <dataValidation allowBlank="1" showInputMessage="1" showErrorMessage="1" sqref="F33:R212 B33:B212" xr:uid="{00000000-0002-0000-0000-000000000000}"/>
  </dataValidations>
  <pageMargins left="0.75" right="0.75" top="1" bottom="1" header="0.5" footer="0.5"/>
  <pageSetup paperSize="9" orientation="portrait" horizontalDpi="4294967292" verticalDpi="4294967292"/>
  <ignoredErrors>
    <ignoredError sqref="C33:E42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3" name="Slider rot x">
              <controlPr defaultSiz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" name="Slider rot y">
              <controlPr defaultSize="0" autoPict="0">
                <anchor moveWithCells="1">
                  <from>
                    <xdr:col>2</xdr:col>
                    <xdr:colOff>28575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Slider rot z">
              <controlPr defaultSize="0" autoPict="0">
                <anchor moveWithCells="1">
                  <from>
                    <xdr:col>2</xdr:col>
                    <xdr:colOff>28575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6" name="Slider proj x">
              <controlPr defaultSize="0" autoPict="0">
                <anchor moveWithCells="1">
                  <from>
                    <xdr:col>2</xdr:col>
                    <xdr:colOff>28575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" name="Slider proj y">
              <controlPr defaultSize="0" autoPict="0">
                <anchor moveWithCells="1">
                  <from>
                    <xdr:col>2</xdr:col>
                    <xdr:colOff>28575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Slider proj z">
              <controlPr defaultSize="0" autoPict="0">
                <anchor moveWithCells="1">
                  <from>
                    <xdr:col>2</xdr:col>
                    <xdr:colOff>28575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9" name="Slider zoom">
              <controlPr defaultSize="0" autoPict="0">
                <anchor moveWithCells="1">
                  <from>
                    <xdr:col>2</xdr:col>
                    <xdr:colOff>28575</xdr:colOff>
                    <xdr:row>19</xdr:row>
                    <xdr:rowOff>9525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" name="Slider shift x">
              <controlPr defaultSize="0" autoPict="0">
                <anchor moveWithCells="1">
                  <from>
                    <xdr:col>2</xdr:col>
                    <xdr:colOff>28575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1" name="Slider shift y">
              <controlPr defaultSize="0" autoPict="0">
                <anchor moveWithCells="1">
                  <from>
                    <xdr:col>2</xdr:col>
                    <xdr:colOff>28575</xdr:colOff>
                    <xdr:row>21</xdr:row>
                    <xdr:rowOff>9525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" name="ToscaleSwitch">
              <controlPr defaultSize="0" autoFill="0" autoLine="0" autoPict="0">
                <anchor moveWithCells="1">
                  <from>
                    <xdr:col>1</xdr:col>
                    <xdr:colOff>714375</xdr:colOff>
                    <xdr:row>21</xdr:row>
                    <xdr:rowOff>180975</xdr:rowOff>
                  </from>
                  <to>
                    <xdr:col>3</xdr:col>
                    <xdr:colOff>257175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3" name="ZdropLines">
              <controlPr defaultSize="0" autoFill="0" autoLine="0" autoPict="0">
                <anchor moveWithCells="1">
                  <from>
                    <xdr:col>1</xdr:col>
                    <xdr:colOff>714375</xdr:colOff>
                    <xdr:row>17</xdr:row>
                    <xdr:rowOff>190500</xdr:rowOff>
                  </from>
                  <to>
                    <xdr:col>2</xdr:col>
                    <xdr:colOff>904875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96121-2069-4390-A19F-7F017AC5138F}">
  <dimension ref="A1:S203"/>
  <sheetViews>
    <sheetView tabSelected="1" zoomScale="130" zoomScaleNormal="130" workbookViewId="0">
      <selection activeCell="N184" sqref="N184"/>
    </sheetView>
  </sheetViews>
  <sheetFormatPr defaultRowHeight="12.75"/>
  <cols>
    <col min="1" max="1" width="22.5" customWidth="1"/>
    <col min="2" max="6" width="12.75" bestFit="1" customWidth="1"/>
    <col min="7" max="7" width="19.125" customWidth="1"/>
    <col min="8" max="9" width="12.75" bestFit="1" customWidth="1"/>
    <col min="10" max="15" width="12.875" bestFit="1" customWidth="1"/>
    <col min="17" max="17" width="18.75" customWidth="1"/>
    <col min="18" max="18" width="16.375" customWidth="1"/>
    <col min="19" max="19" width="19.625" customWidth="1"/>
  </cols>
  <sheetData>
    <row r="1" spans="1:19" ht="31.5" customHeight="1">
      <c r="A1" s="78" t="s">
        <v>88</v>
      </c>
      <c r="B1" s="78" t="s">
        <v>89</v>
      </c>
      <c r="C1" s="78" t="s">
        <v>90</v>
      </c>
      <c r="D1" s="78" t="s">
        <v>91</v>
      </c>
      <c r="E1" s="78" t="s">
        <v>92</v>
      </c>
      <c r="F1" s="78" t="s">
        <v>93</v>
      </c>
      <c r="G1" s="78" t="s">
        <v>94</v>
      </c>
      <c r="H1" s="78" t="s">
        <v>95</v>
      </c>
      <c r="I1" s="78" t="s">
        <v>96</v>
      </c>
      <c r="J1" s="78" t="s">
        <v>100</v>
      </c>
      <c r="K1" s="78" t="s">
        <v>101</v>
      </c>
      <c r="L1" s="78" t="s">
        <v>102</v>
      </c>
      <c r="M1" s="80" t="s">
        <v>97</v>
      </c>
      <c r="N1" s="80" t="s">
        <v>98</v>
      </c>
      <c r="O1" s="80" t="s">
        <v>99</v>
      </c>
      <c r="P1" s="79"/>
      <c r="Q1" s="77" t="s">
        <v>177</v>
      </c>
      <c r="R1" s="76" t="s">
        <v>175</v>
      </c>
      <c r="S1" s="76" t="s">
        <v>176</v>
      </c>
    </row>
    <row r="2" spans="1:19" hidden="1">
      <c r="A2">
        <v>24240.881017</v>
      </c>
      <c r="B2">
        <v>160375.132813</v>
      </c>
      <c r="C2">
        <v>2246768.2584699998</v>
      </c>
      <c r="D2">
        <v>25724.405556999998</v>
      </c>
      <c r="E2">
        <v>30061.473768</v>
      </c>
      <c r="F2">
        <v>4039.1716190000002</v>
      </c>
      <c r="G2">
        <v>4464668.9984670002</v>
      </c>
      <c r="H2">
        <v>248304.86814400001</v>
      </c>
      <c r="I2">
        <v>475539.50408899999</v>
      </c>
      <c r="J2">
        <v>0.60795200000000005</v>
      </c>
      <c r="K2">
        <v>0.215559</v>
      </c>
      <c r="L2">
        <v>-0.59737099999999999</v>
      </c>
      <c r="M2">
        <v>-73.784722000000002</v>
      </c>
      <c r="N2">
        <v>93.426292000000004</v>
      </c>
      <c r="O2">
        <v>406.96677899999997</v>
      </c>
      <c r="Q2" s="75"/>
      <c r="R2" s="75"/>
      <c r="S2" s="75"/>
    </row>
    <row r="3" spans="1:19" hidden="1">
      <c r="A3">
        <v>41977.343850999998</v>
      </c>
      <c r="B3">
        <v>3928289.7191150002</v>
      </c>
      <c r="C3">
        <v>130414.21986500001</v>
      </c>
      <c r="D3">
        <v>25767.877445999999</v>
      </c>
      <c r="E3">
        <v>30082.792222</v>
      </c>
      <c r="F3">
        <v>4096.9951620000002</v>
      </c>
      <c r="G3">
        <v>39880588.890768997</v>
      </c>
      <c r="H3">
        <v>241311.96877899999</v>
      </c>
      <c r="I3">
        <v>2997930.9225280001</v>
      </c>
      <c r="J3">
        <v>0.59454499999999999</v>
      </c>
      <c r="K3">
        <v>0.63986699999999996</v>
      </c>
      <c r="L3">
        <v>-0.38917600000000002</v>
      </c>
      <c r="M3">
        <v>-171.006944</v>
      </c>
      <c r="N3">
        <v>986.79125999999997</v>
      </c>
      <c r="O3">
        <v>249.77970099999999</v>
      </c>
      <c r="Q3" s="75"/>
      <c r="R3" s="75"/>
      <c r="S3" s="75"/>
    </row>
    <row r="4" spans="1:19" hidden="1">
      <c r="A4">
        <v>7461.3354890000001</v>
      </c>
      <c r="B4">
        <v>179550.22658399999</v>
      </c>
      <c r="C4">
        <v>200707.41075499999</v>
      </c>
      <c r="D4">
        <v>46992.901318999997</v>
      </c>
      <c r="E4">
        <v>676810.92266599997</v>
      </c>
      <c r="F4">
        <v>51305.659539</v>
      </c>
      <c r="G4">
        <v>38299222.639819004</v>
      </c>
      <c r="H4">
        <v>234569.85243599999</v>
      </c>
      <c r="I4">
        <v>382972.52009800001</v>
      </c>
      <c r="J4">
        <v>0.56220700000000001</v>
      </c>
      <c r="K4">
        <v>0.241117</v>
      </c>
      <c r="L4">
        <v>-0.59023999999999999</v>
      </c>
      <c r="M4">
        <v>-198.78472199999999</v>
      </c>
      <c r="N4">
        <v>99.905242999999999</v>
      </c>
      <c r="O4">
        <v>395.14308699999998</v>
      </c>
      <c r="Q4" s="75"/>
      <c r="R4" s="75"/>
      <c r="S4" s="75"/>
    </row>
    <row r="5" spans="1:19" hidden="1">
      <c r="A5">
        <v>44975.360465999998</v>
      </c>
      <c r="B5">
        <v>160569.11657400001</v>
      </c>
      <c r="C5">
        <v>2838055.4416780001</v>
      </c>
      <c r="D5">
        <v>24354.029506999999</v>
      </c>
      <c r="E5">
        <v>38819.059255</v>
      </c>
      <c r="F5">
        <v>4271.2565910000003</v>
      </c>
      <c r="G5">
        <v>9156539.9317070004</v>
      </c>
      <c r="H5">
        <v>223094.55197900001</v>
      </c>
      <c r="I5">
        <v>649824.47095500003</v>
      </c>
      <c r="J5">
        <v>0.62041100000000005</v>
      </c>
      <c r="K5">
        <v>0.26288699999999998</v>
      </c>
      <c r="L5">
        <v>-0.598943</v>
      </c>
      <c r="M5">
        <v>-70.3125</v>
      </c>
      <c r="N5">
        <v>101.76915</v>
      </c>
      <c r="O5">
        <v>349.64904100000001</v>
      </c>
      <c r="Q5" s="75"/>
      <c r="R5" s="75"/>
      <c r="S5" s="75"/>
    </row>
    <row r="6" spans="1:19" hidden="1">
      <c r="A6">
        <v>44975.360465999998</v>
      </c>
      <c r="B6">
        <v>160569.11657400001</v>
      </c>
      <c r="C6">
        <v>2923347.143228</v>
      </c>
      <c r="D6">
        <v>24395.432653</v>
      </c>
      <c r="E6">
        <v>38819.059255</v>
      </c>
      <c r="F6">
        <v>4271.2565910000003</v>
      </c>
      <c r="G6">
        <v>7269473.1164269997</v>
      </c>
      <c r="H6">
        <v>223094.55197900001</v>
      </c>
      <c r="I6">
        <v>618752.07179800002</v>
      </c>
      <c r="J6">
        <v>0.61899800000000005</v>
      </c>
      <c r="K6">
        <v>0.26288699999999998</v>
      </c>
      <c r="L6">
        <v>-0.598943</v>
      </c>
      <c r="M6">
        <v>-111.979167</v>
      </c>
      <c r="N6">
        <v>100.89192199999999</v>
      </c>
      <c r="O6">
        <v>353.20594</v>
      </c>
      <c r="Q6" s="75"/>
      <c r="R6" s="75"/>
      <c r="S6" s="75"/>
    </row>
    <row r="7" spans="1:19" hidden="1">
      <c r="A7">
        <v>4232.3987209999996</v>
      </c>
      <c r="B7">
        <v>160153.512827</v>
      </c>
      <c r="C7">
        <v>203423.306759</v>
      </c>
      <c r="D7">
        <v>24477.823197999998</v>
      </c>
      <c r="E7">
        <v>33241.904653999998</v>
      </c>
      <c r="F7">
        <v>4458.7729159999999</v>
      </c>
      <c r="G7">
        <v>5530224.527679</v>
      </c>
      <c r="H7">
        <v>243369.296841</v>
      </c>
      <c r="I7">
        <v>421783.773269</v>
      </c>
      <c r="J7">
        <v>0.57620000000000005</v>
      </c>
      <c r="K7">
        <v>0.241399</v>
      </c>
      <c r="L7">
        <v>-0.58558399999999999</v>
      </c>
      <c r="M7">
        <v>-82.465277999999998</v>
      </c>
      <c r="N7">
        <v>96.835091000000006</v>
      </c>
      <c r="O7">
        <v>376.172214</v>
      </c>
      <c r="Q7" s="75"/>
      <c r="R7" s="75"/>
      <c r="S7" s="75"/>
    </row>
    <row r="8" spans="1:19" hidden="1">
      <c r="A8">
        <v>43111.404174000003</v>
      </c>
      <c r="B8">
        <v>160175.00507399999</v>
      </c>
      <c r="C8">
        <v>131405.45350800001</v>
      </c>
      <c r="D8">
        <v>25750.227671000001</v>
      </c>
      <c r="E8">
        <v>30035.769344</v>
      </c>
      <c r="F8">
        <v>4114.250849</v>
      </c>
      <c r="G8">
        <v>38786780.513039999</v>
      </c>
      <c r="H8">
        <v>203952.39739200001</v>
      </c>
      <c r="I8">
        <v>2963238.4790150002</v>
      </c>
      <c r="J8">
        <v>0.44697700000000001</v>
      </c>
      <c r="K8">
        <v>0.63968700000000001</v>
      </c>
      <c r="L8">
        <v>-0.453046</v>
      </c>
      <c r="M8">
        <v>-214.40972199999999</v>
      </c>
      <c r="N8">
        <v>513.442993</v>
      </c>
      <c r="O8">
        <v>262.17100199999999</v>
      </c>
      <c r="Q8" s="75"/>
      <c r="R8" s="75"/>
      <c r="S8" s="75"/>
    </row>
    <row r="9" spans="1:19" hidden="1">
      <c r="A9">
        <v>6638.0613430000003</v>
      </c>
      <c r="B9">
        <v>160610.56038099999</v>
      </c>
      <c r="C9">
        <v>312715.436675</v>
      </c>
      <c r="D9">
        <v>24213.32965</v>
      </c>
      <c r="E9">
        <v>35900.092247</v>
      </c>
      <c r="F9">
        <v>4048.6765249999999</v>
      </c>
      <c r="G9">
        <v>4225470.1904650005</v>
      </c>
      <c r="H9">
        <v>206552.108201</v>
      </c>
      <c r="I9">
        <v>511245.69089799997</v>
      </c>
      <c r="J9">
        <v>0.527887</v>
      </c>
      <c r="K9">
        <v>0.23593900000000001</v>
      </c>
      <c r="L9">
        <v>-0.59905900000000001</v>
      </c>
      <c r="M9">
        <v>-78.993055999999996</v>
      </c>
      <c r="N9">
        <v>96.700089000000006</v>
      </c>
      <c r="O9">
        <v>370.482642</v>
      </c>
      <c r="Q9" s="75"/>
      <c r="R9" s="75"/>
      <c r="S9" s="75"/>
    </row>
    <row r="10" spans="1:19" hidden="1">
      <c r="A10">
        <v>45237.272748000003</v>
      </c>
      <c r="B10">
        <v>167110.12993299999</v>
      </c>
      <c r="C10">
        <v>1128179.7429490001</v>
      </c>
      <c r="D10">
        <v>24244.917934000001</v>
      </c>
      <c r="E10">
        <v>30252.125558</v>
      </c>
      <c r="F10">
        <v>4134.2316119999996</v>
      </c>
      <c r="G10">
        <v>37774145.743502997</v>
      </c>
      <c r="H10">
        <v>14431.210048999999</v>
      </c>
      <c r="I10">
        <v>483094.10849700001</v>
      </c>
      <c r="J10">
        <v>0.62909999999999999</v>
      </c>
      <c r="K10">
        <v>0.38520500000000002</v>
      </c>
      <c r="L10">
        <v>-0.59626400000000002</v>
      </c>
      <c r="M10">
        <v>-99.826389000000006</v>
      </c>
      <c r="N10">
        <v>252.37998999999999</v>
      </c>
      <c r="O10">
        <v>286.92753699999997</v>
      </c>
      <c r="Q10" s="75"/>
      <c r="R10" s="75"/>
      <c r="S10" s="75"/>
    </row>
    <row r="11" spans="1:19" hidden="1">
      <c r="A11">
        <v>24812.052520000001</v>
      </c>
      <c r="B11">
        <v>228359.286945</v>
      </c>
      <c r="C11">
        <v>2973227.5819540001</v>
      </c>
      <c r="D11">
        <v>24433.293755999999</v>
      </c>
      <c r="E11">
        <v>30071.771615000001</v>
      </c>
      <c r="F11">
        <v>4101.0689430000002</v>
      </c>
      <c r="G11">
        <v>39302810.774025001</v>
      </c>
      <c r="H11">
        <v>242538.984879</v>
      </c>
      <c r="I11">
        <v>2993566.022235</v>
      </c>
      <c r="J11">
        <v>0.49154799999999998</v>
      </c>
      <c r="K11">
        <v>0.63986100000000001</v>
      </c>
      <c r="L11">
        <v>-0.51711399999999996</v>
      </c>
      <c r="M11">
        <v>-183.15972199999999</v>
      </c>
      <c r="N11">
        <v>668.56817599999999</v>
      </c>
      <c r="O11">
        <v>259.23651999999998</v>
      </c>
      <c r="Q11" s="75"/>
      <c r="R11" s="75"/>
      <c r="S11" s="75"/>
    </row>
    <row r="12" spans="1:19" hidden="1">
      <c r="A12">
        <v>27358.599589000001</v>
      </c>
      <c r="B12">
        <v>160338.25110600001</v>
      </c>
      <c r="C12">
        <v>1401166.29797</v>
      </c>
      <c r="D12">
        <v>25529.436204000001</v>
      </c>
      <c r="E12">
        <v>30061.552275999999</v>
      </c>
      <c r="F12">
        <v>4046.6419649999998</v>
      </c>
      <c r="G12">
        <v>4498693.7207749998</v>
      </c>
      <c r="H12">
        <v>249489.275402</v>
      </c>
      <c r="I12">
        <v>478012.38226400001</v>
      </c>
      <c r="J12">
        <v>0.57677199999999995</v>
      </c>
      <c r="K12">
        <v>0.21659600000000001</v>
      </c>
      <c r="L12">
        <v>-0.59627799999999997</v>
      </c>
      <c r="M12">
        <v>-75.520832999999996</v>
      </c>
      <c r="N12">
        <v>94.206221999999997</v>
      </c>
      <c r="O12">
        <v>402.24528600000002</v>
      </c>
      <c r="Q12" s="75"/>
      <c r="R12" s="75"/>
      <c r="S12" s="75"/>
    </row>
    <row r="13" spans="1:19" hidden="1">
      <c r="A13">
        <v>16373.762826</v>
      </c>
      <c r="B13">
        <v>160197.06488399999</v>
      </c>
      <c r="C13">
        <v>164547.66656799999</v>
      </c>
      <c r="D13">
        <v>24608.120504999999</v>
      </c>
      <c r="E13">
        <v>30092.385899000001</v>
      </c>
      <c r="F13">
        <v>4057.8281579999998</v>
      </c>
      <c r="G13">
        <v>39151640.247823998</v>
      </c>
      <c r="H13">
        <v>241280.622347</v>
      </c>
      <c r="I13">
        <v>2996063.180896</v>
      </c>
      <c r="J13">
        <v>0.43681500000000001</v>
      </c>
      <c r="K13">
        <v>0.63839000000000001</v>
      </c>
      <c r="L13">
        <v>-0.46017000000000002</v>
      </c>
      <c r="M13">
        <v>-171.006944</v>
      </c>
      <c r="N13">
        <v>488.98831200000001</v>
      </c>
      <c r="O13">
        <v>261.84598999999997</v>
      </c>
      <c r="Q13" s="75"/>
      <c r="R13" s="75"/>
      <c r="S13" s="75"/>
    </row>
    <row r="14" spans="1:19" hidden="1">
      <c r="A14">
        <v>45447.517276999999</v>
      </c>
      <c r="B14">
        <v>160012.861213</v>
      </c>
      <c r="C14">
        <v>299547.18486400001</v>
      </c>
      <c r="D14">
        <v>24753.232609999999</v>
      </c>
      <c r="E14">
        <v>38758.173053999999</v>
      </c>
      <c r="F14">
        <v>4127.4005020000004</v>
      </c>
      <c r="G14">
        <v>38783518.310116</v>
      </c>
      <c r="H14">
        <v>201201.978069</v>
      </c>
      <c r="I14">
        <v>2929460.0821179999</v>
      </c>
      <c r="J14">
        <v>0.39267600000000003</v>
      </c>
      <c r="K14">
        <v>0.63978100000000004</v>
      </c>
      <c r="L14">
        <v>-0.336447</v>
      </c>
      <c r="M14">
        <v>-177.95138900000001</v>
      </c>
      <c r="N14">
        <v>424.57574499999998</v>
      </c>
      <c r="O14">
        <v>267.13569000000001</v>
      </c>
      <c r="Q14" s="75"/>
      <c r="R14" s="75"/>
      <c r="S14" s="75"/>
    </row>
    <row r="15" spans="1:19" hidden="1">
      <c r="A15">
        <v>23516.550708999999</v>
      </c>
      <c r="B15">
        <v>160830.083801</v>
      </c>
      <c r="C15">
        <v>391491.82801300002</v>
      </c>
      <c r="D15">
        <v>25220.900033000002</v>
      </c>
      <c r="E15">
        <v>33826.528100000003</v>
      </c>
      <c r="F15">
        <v>4433.3614779999998</v>
      </c>
      <c r="G15">
        <v>8430407.7039020006</v>
      </c>
      <c r="H15">
        <v>207114.48131199999</v>
      </c>
      <c r="I15">
        <v>491940.50240499998</v>
      </c>
      <c r="J15">
        <v>0.58755999999999997</v>
      </c>
      <c r="K15">
        <v>0.27703499999999998</v>
      </c>
      <c r="L15">
        <v>-0.59911899999999996</v>
      </c>
      <c r="M15">
        <v>-118.92361099999999</v>
      </c>
      <c r="N15">
        <v>102.404495</v>
      </c>
      <c r="O15">
        <v>348.00023800000002</v>
      </c>
      <c r="Q15" s="75"/>
      <c r="R15" s="75"/>
      <c r="S15" s="75"/>
    </row>
    <row r="16" spans="1:19" hidden="1">
      <c r="A16">
        <v>7884.895665</v>
      </c>
      <c r="B16">
        <v>179550.22658399999</v>
      </c>
      <c r="C16">
        <v>200707.41075499999</v>
      </c>
      <c r="D16">
        <v>46992.901318999997</v>
      </c>
      <c r="E16">
        <v>676810.92266599997</v>
      </c>
      <c r="F16">
        <v>51305.659539</v>
      </c>
      <c r="G16">
        <v>38299222.639819004</v>
      </c>
      <c r="H16">
        <v>236727.814013</v>
      </c>
      <c r="I16">
        <v>639772.87073700002</v>
      </c>
      <c r="J16">
        <v>0.57106100000000004</v>
      </c>
      <c r="K16">
        <v>0.255747</v>
      </c>
      <c r="L16">
        <v>-0.596912</v>
      </c>
      <c r="M16">
        <v>-249.131944</v>
      </c>
      <c r="N16">
        <v>106.001846</v>
      </c>
      <c r="O16">
        <v>385.65923700000002</v>
      </c>
      <c r="Q16" s="75"/>
      <c r="R16" s="75"/>
      <c r="S16" s="75"/>
    </row>
    <row r="17" spans="1:19" hidden="1">
      <c r="A17">
        <v>44799.510570999999</v>
      </c>
      <c r="B17">
        <v>160190.07925499999</v>
      </c>
      <c r="C17">
        <v>2960514.4131089998</v>
      </c>
      <c r="D17">
        <v>35412.170482000001</v>
      </c>
      <c r="E17">
        <v>46243.080516000002</v>
      </c>
      <c r="F17">
        <v>4188.8703910000004</v>
      </c>
      <c r="G17">
        <v>8145135.2069229996</v>
      </c>
      <c r="H17">
        <v>212796.338013</v>
      </c>
      <c r="I17">
        <v>665370.98520200001</v>
      </c>
      <c r="J17">
        <v>0.623498</v>
      </c>
      <c r="K17">
        <v>0.27849299999999999</v>
      </c>
      <c r="L17">
        <v>-0.59722600000000003</v>
      </c>
      <c r="M17">
        <v>-122.395833</v>
      </c>
      <c r="N17">
        <v>106.581818</v>
      </c>
      <c r="O17">
        <v>347.22292800000002</v>
      </c>
      <c r="Q17" s="75"/>
      <c r="R17" s="75"/>
      <c r="S17" s="75"/>
    </row>
    <row r="18" spans="1:19" hidden="1">
      <c r="A18">
        <v>16373.762826</v>
      </c>
      <c r="B18">
        <v>160197.06488399999</v>
      </c>
      <c r="C18">
        <v>164547.66656799999</v>
      </c>
      <c r="D18">
        <v>24608.120504999999</v>
      </c>
      <c r="E18">
        <v>30092.385899000001</v>
      </c>
      <c r="F18">
        <v>4057.8281579999998</v>
      </c>
      <c r="G18">
        <v>39151640.247823998</v>
      </c>
      <c r="H18">
        <v>241280.622347</v>
      </c>
      <c r="I18">
        <v>2996063.180896</v>
      </c>
      <c r="J18">
        <v>0.48093999999999998</v>
      </c>
      <c r="K18">
        <v>0.63839000000000001</v>
      </c>
      <c r="L18">
        <v>-0.51732400000000001</v>
      </c>
      <c r="M18">
        <v>-183.15972199999999</v>
      </c>
      <c r="N18">
        <v>604.81561299999998</v>
      </c>
      <c r="O18">
        <v>259.96748600000001</v>
      </c>
      <c r="Q18" s="75"/>
      <c r="R18" s="75"/>
      <c r="S18" s="75"/>
    </row>
    <row r="19" spans="1:19" hidden="1">
      <c r="A19">
        <v>43647.072334999997</v>
      </c>
      <c r="B19">
        <v>160128.761662</v>
      </c>
      <c r="C19">
        <v>1096080.752936</v>
      </c>
      <c r="D19">
        <v>26408.628014000002</v>
      </c>
      <c r="E19">
        <v>30004.904955999998</v>
      </c>
      <c r="F19">
        <v>4096.6525570000003</v>
      </c>
      <c r="G19">
        <v>39899666.652464002</v>
      </c>
      <c r="H19">
        <v>169858.273678</v>
      </c>
      <c r="I19">
        <v>2998566.380723</v>
      </c>
      <c r="J19">
        <v>0.440083</v>
      </c>
      <c r="K19">
        <v>0.63332299999999997</v>
      </c>
      <c r="L19">
        <v>-0.43459999999999999</v>
      </c>
      <c r="M19">
        <v>-236.97916699999999</v>
      </c>
      <c r="N19">
        <v>520.15765399999998</v>
      </c>
      <c r="O19">
        <v>264.01520499999998</v>
      </c>
      <c r="Q19" s="75"/>
      <c r="R19" s="75"/>
      <c r="S19" s="75"/>
    </row>
    <row r="20" spans="1:19" hidden="1">
      <c r="A20">
        <v>46914.923695999998</v>
      </c>
      <c r="B20">
        <v>160364.48991500001</v>
      </c>
      <c r="C20">
        <v>209907.88091899999</v>
      </c>
      <c r="D20">
        <v>34707.5524</v>
      </c>
      <c r="E20">
        <v>31410.082058</v>
      </c>
      <c r="F20">
        <v>4684.347237</v>
      </c>
      <c r="G20">
        <v>37574449.864669003</v>
      </c>
      <c r="H20">
        <v>23409.772014999999</v>
      </c>
      <c r="I20">
        <v>745400.73137299996</v>
      </c>
      <c r="J20">
        <v>0.607904</v>
      </c>
      <c r="K20">
        <v>0.338675</v>
      </c>
      <c r="L20">
        <v>-0.59832600000000002</v>
      </c>
      <c r="M20">
        <v>-89.409722000000002</v>
      </c>
      <c r="N20">
        <v>147.862289</v>
      </c>
      <c r="O20">
        <v>316.02747599999998</v>
      </c>
      <c r="Q20" s="75"/>
      <c r="R20" s="75"/>
      <c r="S20" s="75"/>
    </row>
    <row r="21" spans="1:19" hidden="1">
      <c r="A21">
        <v>45945.20549</v>
      </c>
      <c r="B21">
        <v>684389.77599600004</v>
      </c>
      <c r="C21">
        <v>2771116.7641400001</v>
      </c>
      <c r="D21">
        <v>24505.152956999998</v>
      </c>
      <c r="E21">
        <v>30070.217323000001</v>
      </c>
      <c r="F21">
        <v>4029.5022410000001</v>
      </c>
      <c r="G21">
        <v>39807035.383771002</v>
      </c>
      <c r="H21">
        <v>231300.333514</v>
      </c>
      <c r="I21">
        <v>2978784.3303089999</v>
      </c>
      <c r="J21">
        <v>0.51566500000000004</v>
      </c>
      <c r="K21">
        <v>0.63958300000000001</v>
      </c>
      <c r="L21">
        <v>-0.59892400000000001</v>
      </c>
      <c r="M21">
        <v>-209.20138900000001</v>
      </c>
      <c r="N21">
        <v>800.50762899999995</v>
      </c>
      <c r="O21">
        <v>257.921153</v>
      </c>
      <c r="Q21" s="75"/>
      <c r="R21" s="75"/>
      <c r="S21" s="75"/>
    </row>
    <row r="22" spans="1:19" hidden="1">
      <c r="A22">
        <v>45048.261033000002</v>
      </c>
      <c r="B22">
        <v>164234.38286400001</v>
      </c>
      <c r="C22">
        <v>1060881.15958</v>
      </c>
      <c r="D22">
        <v>24061.781298999998</v>
      </c>
      <c r="E22">
        <v>30061.366253</v>
      </c>
      <c r="F22">
        <v>4096.835693</v>
      </c>
      <c r="G22">
        <v>39969996.594508998</v>
      </c>
      <c r="H22">
        <v>169858.273678</v>
      </c>
      <c r="I22">
        <v>2998619.79232</v>
      </c>
      <c r="J22">
        <v>0.45844800000000002</v>
      </c>
      <c r="K22">
        <v>0.63995199999999997</v>
      </c>
      <c r="L22">
        <v>-0.488981</v>
      </c>
      <c r="M22">
        <v>-233.506944</v>
      </c>
      <c r="N22">
        <v>544.17010500000004</v>
      </c>
      <c r="O22">
        <v>262.480367</v>
      </c>
      <c r="Q22" s="75"/>
      <c r="R22" s="75"/>
      <c r="S22" s="75"/>
    </row>
    <row r="23" spans="1:19" hidden="1">
      <c r="A23">
        <v>31033.823651999999</v>
      </c>
      <c r="B23">
        <v>292051.23900900001</v>
      </c>
      <c r="C23">
        <v>1145731.4068819999</v>
      </c>
      <c r="D23">
        <v>24321.415711000001</v>
      </c>
      <c r="E23">
        <v>30794.746029000002</v>
      </c>
      <c r="F23">
        <v>4024.8289</v>
      </c>
      <c r="G23">
        <v>6173040.1780139999</v>
      </c>
      <c r="H23">
        <v>26617.419508999999</v>
      </c>
      <c r="I23">
        <v>446645.63267100003</v>
      </c>
      <c r="J23">
        <v>3.1933000000000003E-2</v>
      </c>
      <c r="K23">
        <v>0.385073</v>
      </c>
      <c r="L23">
        <v>-0.59091899999999997</v>
      </c>
      <c r="M23">
        <v>-98.090277999999998</v>
      </c>
      <c r="N23">
        <v>213.150284</v>
      </c>
      <c r="O23">
        <v>298.25200000000001</v>
      </c>
      <c r="Q23" s="75"/>
      <c r="R23" s="75"/>
      <c r="S23" s="75"/>
    </row>
    <row r="24" spans="1:19" hidden="1">
      <c r="A24">
        <v>43714.469189000003</v>
      </c>
      <c r="B24">
        <v>160569.11657400001</v>
      </c>
      <c r="C24">
        <v>2922001.459756</v>
      </c>
      <c r="D24">
        <v>24395.432653</v>
      </c>
      <c r="E24">
        <v>38819.059255</v>
      </c>
      <c r="F24">
        <v>4286.9201839999996</v>
      </c>
      <c r="G24">
        <v>7269473.1164269997</v>
      </c>
      <c r="H24">
        <v>162142.96356</v>
      </c>
      <c r="I24">
        <v>618752.07179800002</v>
      </c>
      <c r="J24">
        <v>0.62027200000000005</v>
      </c>
      <c r="K24">
        <v>0.287887</v>
      </c>
      <c r="L24">
        <v>-0.59315899999999999</v>
      </c>
      <c r="M24">
        <v>-125.868056</v>
      </c>
      <c r="N24">
        <v>107.239952</v>
      </c>
      <c r="O24">
        <v>341.64702599999998</v>
      </c>
      <c r="Q24" s="75"/>
      <c r="R24" s="75"/>
      <c r="S24" s="75"/>
    </row>
    <row r="25" spans="1:19" hidden="1">
      <c r="A25">
        <v>27908.984112999999</v>
      </c>
      <c r="B25">
        <v>164469.48320799999</v>
      </c>
      <c r="C25">
        <v>2955352.7589309998</v>
      </c>
      <c r="D25">
        <v>27303.864794000001</v>
      </c>
      <c r="E25">
        <v>31790.108960000001</v>
      </c>
      <c r="F25">
        <v>4438.3050020000001</v>
      </c>
      <c r="G25">
        <v>8474413.8810779992</v>
      </c>
      <c r="H25">
        <v>245888.98159800001</v>
      </c>
      <c r="I25">
        <v>762774.58316299994</v>
      </c>
      <c r="J25">
        <v>0.58927600000000002</v>
      </c>
      <c r="K25">
        <v>0.27701599999999998</v>
      </c>
      <c r="L25">
        <v>-0.59668900000000002</v>
      </c>
      <c r="M25">
        <v>-162.32638900000001</v>
      </c>
      <c r="N25">
        <v>108.89651499999999</v>
      </c>
      <c r="O25">
        <v>345.65916800000002</v>
      </c>
      <c r="Q25" s="75"/>
      <c r="R25" s="75"/>
      <c r="S25" s="75"/>
    </row>
    <row r="26" spans="1:19" hidden="1">
      <c r="A26">
        <v>46567.644791999999</v>
      </c>
      <c r="B26">
        <v>160611.87428300001</v>
      </c>
      <c r="C26">
        <v>460965.537794</v>
      </c>
      <c r="D26">
        <v>24127.891562000001</v>
      </c>
      <c r="E26">
        <v>36776.541176999999</v>
      </c>
      <c r="F26">
        <v>12531.493388999999</v>
      </c>
      <c r="G26">
        <v>38642353.552533999</v>
      </c>
      <c r="H26">
        <v>17674.774997</v>
      </c>
      <c r="I26">
        <v>451187.17657100002</v>
      </c>
      <c r="J26">
        <v>0.27492800000000001</v>
      </c>
      <c r="K26">
        <v>0.59243999999999997</v>
      </c>
      <c r="L26">
        <v>-0.183617</v>
      </c>
      <c r="M26">
        <v>-96.354167000000004</v>
      </c>
      <c r="N26">
        <v>292.45788599999997</v>
      </c>
      <c r="O26">
        <v>276.49885599999999</v>
      </c>
      <c r="Q26" s="75"/>
      <c r="R26" s="75"/>
      <c r="S26" s="75"/>
    </row>
    <row r="27" spans="1:19" hidden="1">
      <c r="A27">
        <v>29817.87372</v>
      </c>
      <c r="B27">
        <v>160626.21473499999</v>
      </c>
      <c r="C27">
        <v>2239757.9066710002</v>
      </c>
      <c r="D27">
        <v>24274.968976</v>
      </c>
      <c r="E27">
        <v>30166.551092999998</v>
      </c>
      <c r="F27">
        <v>4017.846814</v>
      </c>
      <c r="G27">
        <v>4891171.6995839998</v>
      </c>
      <c r="H27">
        <v>21599.550084999999</v>
      </c>
      <c r="I27">
        <v>605980.00180099998</v>
      </c>
      <c r="J27">
        <v>0.62527900000000003</v>
      </c>
      <c r="K27">
        <v>0.345779</v>
      </c>
      <c r="L27">
        <v>-0.59682199999999996</v>
      </c>
      <c r="M27">
        <v>-84.201389000000006</v>
      </c>
      <c r="N27">
        <v>143.879852</v>
      </c>
      <c r="O27">
        <v>304.57226700000001</v>
      </c>
      <c r="Q27" s="75"/>
      <c r="R27" s="75"/>
      <c r="S27" s="75"/>
    </row>
    <row r="28" spans="1:19" hidden="1">
      <c r="A28">
        <v>31016.004186999999</v>
      </c>
      <c r="B28">
        <v>160404.463888</v>
      </c>
      <c r="C28">
        <v>295375.03633899998</v>
      </c>
      <c r="D28">
        <v>24298.705881000002</v>
      </c>
      <c r="E28">
        <v>30783.39113</v>
      </c>
      <c r="F28">
        <v>4052.5860069999999</v>
      </c>
      <c r="G28">
        <v>37936128.866356999</v>
      </c>
      <c r="H28">
        <v>18581.045349</v>
      </c>
      <c r="I28">
        <v>448574.569815</v>
      </c>
      <c r="J28">
        <v>0.62537699999999996</v>
      </c>
      <c r="K28">
        <v>0.38219599999999998</v>
      </c>
      <c r="L28">
        <v>-0.59832600000000002</v>
      </c>
      <c r="M28">
        <v>-85.9375</v>
      </c>
      <c r="N28">
        <v>236.19317599999999</v>
      </c>
      <c r="O28">
        <v>287.32346200000001</v>
      </c>
      <c r="Q28" s="75"/>
      <c r="R28" s="75"/>
      <c r="S28" s="75"/>
    </row>
    <row r="29" spans="1:19" hidden="1">
      <c r="A29">
        <v>43361.939369</v>
      </c>
      <c r="B29">
        <v>236522.43622100001</v>
      </c>
      <c r="C29">
        <v>193667.32989200001</v>
      </c>
      <c r="D29">
        <v>24043.684347999999</v>
      </c>
      <c r="E29">
        <v>31094.668734999999</v>
      </c>
      <c r="F29">
        <v>4015.9558050000001</v>
      </c>
      <c r="G29">
        <v>37197282.505970001</v>
      </c>
      <c r="H29">
        <v>31097.094140000001</v>
      </c>
      <c r="I29">
        <v>566787.126086</v>
      </c>
      <c r="J29">
        <v>0.61719599999999997</v>
      </c>
      <c r="K29">
        <v>0.370925</v>
      </c>
      <c r="L29">
        <v>-0.59585699999999997</v>
      </c>
      <c r="M29">
        <v>-106.770833</v>
      </c>
      <c r="N29">
        <v>222.04333500000001</v>
      </c>
      <c r="O29">
        <v>302.47294699999998</v>
      </c>
      <c r="Q29" s="75"/>
      <c r="R29" s="75"/>
      <c r="S29" s="75"/>
    </row>
    <row r="30" spans="1:19" hidden="1">
      <c r="A30">
        <v>43647.072334999997</v>
      </c>
      <c r="B30">
        <v>160128.761662</v>
      </c>
      <c r="C30">
        <v>1116883.586232</v>
      </c>
      <c r="D30">
        <v>26423.042642</v>
      </c>
      <c r="E30">
        <v>30977.070168999999</v>
      </c>
      <c r="F30">
        <v>4101.442454</v>
      </c>
      <c r="G30">
        <v>39899666.652464002</v>
      </c>
      <c r="H30">
        <v>202755.25336</v>
      </c>
      <c r="I30">
        <v>2998623.1209490001</v>
      </c>
      <c r="J30">
        <v>0.51432199999999995</v>
      </c>
      <c r="K30">
        <v>0.63956100000000005</v>
      </c>
      <c r="L30">
        <v>-0.43459999999999999</v>
      </c>
      <c r="M30">
        <v>-228.29861099999999</v>
      </c>
      <c r="N30">
        <v>777.78008999999997</v>
      </c>
      <c r="O30">
        <v>259.500179</v>
      </c>
      <c r="Q30" s="75"/>
      <c r="R30" s="75"/>
      <c r="S30" s="75"/>
    </row>
    <row r="31" spans="1:19" hidden="1">
      <c r="A31">
        <v>27900.940123</v>
      </c>
      <c r="B31">
        <v>164469.48320799999</v>
      </c>
      <c r="C31">
        <v>2955352.7589309998</v>
      </c>
      <c r="D31">
        <v>27269.980585000001</v>
      </c>
      <c r="E31">
        <v>31790.108960000001</v>
      </c>
      <c r="F31">
        <v>4438.3050020000001</v>
      </c>
      <c r="G31">
        <v>8474413.8810779992</v>
      </c>
      <c r="H31">
        <v>245888.98159800001</v>
      </c>
      <c r="I31">
        <v>793487.46159299999</v>
      </c>
      <c r="J31">
        <v>0.588951</v>
      </c>
      <c r="K31">
        <v>0.27701599999999998</v>
      </c>
      <c r="L31">
        <v>-0.59668900000000002</v>
      </c>
      <c r="M31">
        <v>-162.32638900000001</v>
      </c>
      <c r="N31">
        <v>109.606667</v>
      </c>
      <c r="O31">
        <v>345.27793000000003</v>
      </c>
      <c r="Q31" s="75"/>
      <c r="R31" s="75"/>
      <c r="S31" s="75"/>
    </row>
    <row r="32" spans="1:19" hidden="1">
      <c r="A32">
        <v>30682.992888000001</v>
      </c>
      <c r="B32">
        <v>160195.332727</v>
      </c>
      <c r="C32">
        <v>131923.08631899999</v>
      </c>
      <c r="D32">
        <v>24422.315567000001</v>
      </c>
      <c r="E32">
        <v>30999.936366000002</v>
      </c>
      <c r="F32">
        <v>4510.413826</v>
      </c>
      <c r="G32">
        <v>39727119.993058003</v>
      </c>
      <c r="H32">
        <v>39708.984196999998</v>
      </c>
      <c r="I32">
        <v>510437.82049000001</v>
      </c>
      <c r="J32">
        <v>0.27080700000000002</v>
      </c>
      <c r="K32">
        <v>0.63998900000000003</v>
      </c>
      <c r="L32">
        <v>-0.17166500000000001</v>
      </c>
      <c r="M32">
        <v>-103.29861099999999</v>
      </c>
      <c r="N32">
        <v>275.28317299999998</v>
      </c>
      <c r="O32">
        <v>291.84729399999998</v>
      </c>
      <c r="Q32" s="75"/>
      <c r="R32" s="75"/>
      <c r="S32" s="75"/>
    </row>
    <row r="33" spans="1:19" hidden="1">
      <c r="A33">
        <v>24240.881017</v>
      </c>
      <c r="B33">
        <v>160375.132813</v>
      </c>
      <c r="C33">
        <v>2246768.2584699998</v>
      </c>
      <c r="D33">
        <v>25724.405556999998</v>
      </c>
      <c r="E33">
        <v>30129.749629999998</v>
      </c>
      <c r="F33">
        <v>4039.1716190000002</v>
      </c>
      <c r="G33">
        <v>4464668.9984670002</v>
      </c>
      <c r="H33">
        <v>238074.92742299999</v>
      </c>
      <c r="I33">
        <v>475539.50408899999</v>
      </c>
      <c r="J33">
        <v>0.61304000000000003</v>
      </c>
      <c r="K33">
        <v>0.215559</v>
      </c>
      <c r="L33">
        <v>-0.59883200000000003</v>
      </c>
      <c r="M33">
        <v>-72.048610999999994</v>
      </c>
      <c r="N33">
        <v>93.743201999999997</v>
      </c>
      <c r="O33">
        <v>400.44631700000002</v>
      </c>
      <c r="Q33" s="75"/>
      <c r="R33" s="75"/>
      <c r="S33" s="75"/>
    </row>
    <row r="34" spans="1:19" hidden="1">
      <c r="A34">
        <v>45840.816814999998</v>
      </c>
      <c r="B34">
        <v>160196.44289599999</v>
      </c>
      <c r="C34">
        <v>120751.567307</v>
      </c>
      <c r="D34">
        <v>24821.531805999999</v>
      </c>
      <c r="E34">
        <v>30061.372271</v>
      </c>
      <c r="F34">
        <v>4101.5171350000001</v>
      </c>
      <c r="G34">
        <v>39482583.881347999</v>
      </c>
      <c r="H34">
        <v>156092.59208900001</v>
      </c>
      <c r="I34">
        <v>2970774.73337</v>
      </c>
      <c r="J34">
        <v>0.47315499999999999</v>
      </c>
      <c r="K34">
        <v>0.63988400000000001</v>
      </c>
      <c r="L34">
        <v>-0.55776199999999998</v>
      </c>
      <c r="M34">
        <v>-247.39583300000001</v>
      </c>
      <c r="N34">
        <v>574.59570299999996</v>
      </c>
      <c r="O34">
        <v>262.769069</v>
      </c>
      <c r="Q34" s="75"/>
      <c r="R34" s="75"/>
      <c r="S34" s="75"/>
    </row>
    <row r="35" spans="1:19" hidden="1">
      <c r="A35">
        <v>42236.736824</v>
      </c>
      <c r="B35">
        <v>177061.98815399999</v>
      </c>
      <c r="C35">
        <v>275695.19501899998</v>
      </c>
      <c r="D35">
        <v>24834.967058999999</v>
      </c>
      <c r="E35">
        <v>33103.906263999997</v>
      </c>
      <c r="F35">
        <v>4035.1067149999999</v>
      </c>
      <c r="G35">
        <v>5077490.7844820004</v>
      </c>
      <c r="H35">
        <v>26377.069523999999</v>
      </c>
      <c r="I35">
        <v>636246.09986099997</v>
      </c>
      <c r="J35">
        <v>0.62805200000000005</v>
      </c>
      <c r="K35">
        <v>0.37368600000000002</v>
      </c>
      <c r="L35">
        <v>-0.59786499999999998</v>
      </c>
      <c r="M35">
        <v>-108.506944</v>
      </c>
      <c r="N35">
        <v>193.66035500000001</v>
      </c>
      <c r="O35">
        <v>307.143126</v>
      </c>
      <c r="Q35" s="75"/>
      <c r="R35" s="75"/>
      <c r="S35" s="75"/>
    </row>
    <row r="36" spans="1:19" hidden="1">
      <c r="A36">
        <v>43714.469189000003</v>
      </c>
      <c r="B36">
        <v>160569.11657400001</v>
      </c>
      <c r="C36">
        <v>2928216.8848549998</v>
      </c>
      <c r="D36">
        <v>24202.425119</v>
      </c>
      <c r="E36">
        <v>38819.059255</v>
      </c>
      <c r="F36">
        <v>4057.7515429999999</v>
      </c>
      <c r="G36">
        <v>7269473.1164269997</v>
      </c>
      <c r="H36">
        <v>162142.96356</v>
      </c>
      <c r="I36">
        <v>734606.93161500001</v>
      </c>
      <c r="J36">
        <v>0.62027200000000005</v>
      </c>
      <c r="K36">
        <v>0.287887</v>
      </c>
      <c r="L36">
        <v>-0.59315899999999999</v>
      </c>
      <c r="M36">
        <v>-127.604167</v>
      </c>
      <c r="N36">
        <v>109.82862900000001</v>
      </c>
      <c r="O36">
        <v>340.88342299999999</v>
      </c>
      <c r="Q36" s="75"/>
      <c r="R36" s="75"/>
      <c r="S36" s="75"/>
    </row>
    <row r="37" spans="1:19" hidden="1">
      <c r="A37">
        <v>44434.219981000002</v>
      </c>
      <c r="B37">
        <v>165005.66641500001</v>
      </c>
      <c r="C37">
        <v>2788339.1751060002</v>
      </c>
      <c r="D37">
        <v>24187.914655</v>
      </c>
      <c r="E37">
        <v>30484.325923</v>
      </c>
      <c r="F37">
        <v>4022.511657</v>
      </c>
      <c r="G37">
        <v>39678231.339598</v>
      </c>
      <c r="H37">
        <v>239157.94418799999</v>
      </c>
      <c r="I37">
        <v>2998180.0397740002</v>
      </c>
      <c r="J37">
        <v>0.48858699999999999</v>
      </c>
      <c r="K37">
        <v>0.63638700000000004</v>
      </c>
      <c r="L37">
        <v>-0.51028499999999999</v>
      </c>
      <c r="M37">
        <v>-202.256944</v>
      </c>
      <c r="N37">
        <v>641.16442900000004</v>
      </c>
      <c r="O37">
        <v>259.85206599999998</v>
      </c>
      <c r="Q37" s="75"/>
      <c r="R37" s="75"/>
      <c r="S37" s="75"/>
    </row>
    <row r="38" spans="1:19" hidden="1">
      <c r="A38">
        <v>6638.0613430000003</v>
      </c>
      <c r="B38">
        <v>160610.56038099999</v>
      </c>
      <c r="C38">
        <v>216302.11014400001</v>
      </c>
      <c r="D38">
        <v>24213.32965</v>
      </c>
      <c r="E38">
        <v>35900.092247</v>
      </c>
      <c r="F38">
        <v>4447.8103389999997</v>
      </c>
      <c r="G38">
        <v>5521471.54947</v>
      </c>
      <c r="H38">
        <v>185730.85662100001</v>
      </c>
      <c r="I38">
        <v>419780.45490200003</v>
      </c>
      <c r="J38">
        <v>0.52745600000000004</v>
      </c>
      <c r="K38">
        <v>0.23593900000000001</v>
      </c>
      <c r="L38">
        <v>-0.59905900000000001</v>
      </c>
      <c r="M38">
        <v>-70.3125</v>
      </c>
      <c r="N38">
        <v>95.459778</v>
      </c>
      <c r="O38">
        <v>366.675409</v>
      </c>
      <c r="Q38" s="75"/>
      <c r="R38" s="75"/>
      <c r="S38" s="75"/>
    </row>
    <row r="39" spans="1:19" hidden="1">
      <c r="A39">
        <v>42916.681314000001</v>
      </c>
      <c r="B39">
        <v>160174.20167899999</v>
      </c>
      <c r="C39">
        <v>208703.15044</v>
      </c>
      <c r="D39">
        <v>24554.431471</v>
      </c>
      <c r="E39">
        <v>33171.544878000001</v>
      </c>
      <c r="F39">
        <v>4199.6371810000001</v>
      </c>
      <c r="G39">
        <v>9989409.7080450002</v>
      </c>
      <c r="H39">
        <v>165470.39322900001</v>
      </c>
      <c r="I39">
        <v>685836.43557800003</v>
      </c>
      <c r="J39">
        <v>0.57279100000000005</v>
      </c>
      <c r="K39">
        <v>0.28460000000000002</v>
      </c>
      <c r="L39">
        <v>-0.59939900000000002</v>
      </c>
      <c r="M39">
        <v>-120.659722</v>
      </c>
      <c r="N39">
        <v>109.99678</v>
      </c>
      <c r="O39">
        <v>337.38790499999999</v>
      </c>
      <c r="Q39" s="75"/>
      <c r="R39" s="75"/>
      <c r="S39" s="75"/>
    </row>
    <row r="40" spans="1:19" hidden="1">
      <c r="A40">
        <v>43528.512339000001</v>
      </c>
      <c r="B40">
        <v>160569.11657400001</v>
      </c>
      <c r="C40">
        <v>2893753.0549869998</v>
      </c>
      <c r="D40">
        <v>24091.665086000001</v>
      </c>
      <c r="E40">
        <v>30641.732328999999</v>
      </c>
      <c r="F40">
        <v>4057.7515429999999</v>
      </c>
      <c r="G40">
        <v>8186201.8972260002</v>
      </c>
      <c r="H40">
        <v>162142.96356</v>
      </c>
      <c r="I40">
        <v>734606.93161500001</v>
      </c>
      <c r="J40">
        <v>0.59633000000000003</v>
      </c>
      <c r="K40">
        <v>0.28731499999999999</v>
      </c>
      <c r="L40">
        <v>-0.59315899999999999</v>
      </c>
      <c r="M40">
        <v>-124.131944</v>
      </c>
      <c r="N40">
        <v>111.73761</v>
      </c>
      <c r="O40">
        <v>338.87395199999997</v>
      </c>
      <c r="Q40" s="75"/>
      <c r="R40" s="75"/>
      <c r="S40" s="75"/>
    </row>
    <row r="41" spans="1:19" hidden="1">
      <c r="A41">
        <v>42916.681314000001</v>
      </c>
      <c r="B41">
        <v>160174.22600200001</v>
      </c>
      <c r="C41">
        <v>208740.72848399999</v>
      </c>
      <c r="D41">
        <v>24554.431471</v>
      </c>
      <c r="E41">
        <v>33346.377711000001</v>
      </c>
      <c r="F41">
        <v>4193.6466200000004</v>
      </c>
      <c r="G41">
        <v>10517287.642488001</v>
      </c>
      <c r="H41">
        <v>167238.57837900001</v>
      </c>
      <c r="I41">
        <v>685836.43557800003</v>
      </c>
      <c r="J41">
        <v>0.566106</v>
      </c>
      <c r="K41">
        <v>0.288574</v>
      </c>
      <c r="L41">
        <v>-0.59939900000000002</v>
      </c>
      <c r="M41">
        <v>-120.659722</v>
      </c>
      <c r="N41">
        <v>112.588043</v>
      </c>
      <c r="O41">
        <v>336.28848699999998</v>
      </c>
      <c r="Q41" s="75"/>
      <c r="R41" s="75"/>
      <c r="S41" s="75"/>
    </row>
    <row r="42" spans="1:19" hidden="1">
      <c r="A42">
        <v>6979.363222</v>
      </c>
      <c r="B42">
        <v>160065.466395</v>
      </c>
      <c r="C42">
        <v>187218.03438999999</v>
      </c>
      <c r="D42">
        <v>27247.98587</v>
      </c>
      <c r="E42">
        <v>33241.904653999998</v>
      </c>
      <c r="F42">
        <v>4458.7729159999999</v>
      </c>
      <c r="G42">
        <v>5688299.8090390004</v>
      </c>
      <c r="H42">
        <v>243369.296841</v>
      </c>
      <c r="I42">
        <v>421377.73528299999</v>
      </c>
      <c r="J42">
        <v>0.57677900000000004</v>
      </c>
      <c r="K42">
        <v>0.24298</v>
      </c>
      <c r="L42">
        <v>-0.59754700000000005</v>
      </c>
      <c r="M42">
        <v>-84.201389000000006</v>
      </c>
      <c r="N42">
        <v>96.898574999999994</v>
      </c>
      <c r="O42">
        <v>374.38354299999997</v>
      </c>
      <c r="Q42" s="75"/>
      <c r="R42" s="75"/>
      <c r="S42" s="75"/>
    </row>
    <row r="43" spans="1:19" hidden="1">
      <c r="A43">
        <v>26889.098343000001</v>
      </c>
      <c r="B43">
        <v>160265.967118</v>
      </c>
      <c r="C43">
        <v>1061041.9425220001</v>
      </c>
      <c r="D43">
        <v>24256.081518999999</v>
      </c>
      <c r="E43">
        <v>30082.792222</v>
      </c>
      <c r="F43">
        <v>4096.9951620000002</v>
      </c>
      <c r="G43">
        <v>39880588.890768997</v>
      </c>
      <c r="H43">
        <v>241311.96877899999</v>
      </c>
      <c r="I43">
        <v>2997750.0253920001</v>
      </c>
      <c r="J43">
        <v>0.50862799999999997</v>
      </c>
      <c r="K43">
        <v>0.63986500000000002</v>
      </c>
      <c r="L43">
        <v>-0.47877599999999998</v>
      </c>
      <c r="M43">
        <v>-209.20138900000001</v>
      </c>
      <c r="N43">
        <v>719.35375999999997</v>
      </c>
      <c r="O43">
        <v>258.763689</v>
      </c>
      <c r="Q43" s="75"/>
      <c r="R43" s="75"/>
      <c r="S43" s="75"/>
    </row>
    <row r="44" spans="1:19" hidden="1">
      <c r="A44">
        <v>45336.448673999999</v>
      </c>
      <c r="B44">
        <v>160794.202548</v>
      </c>
      <c r="C44">
        <v>821342.07117899996</v>
      </c>
      <c r="D44">
        <v>24519.132893999998</v>
      </c>
      <c r="E44">
        <v>32723.886479000001</v>
      </c>
      <c r="F44">
        <v>4040.1269520000001</v>
      </c>
      <c r="G44">
        <v>14048871.348314</v>
      </c>
      <c r="H44">
        <v>153638.62017099999</v>
      </c>
      <c r="I44">
        <v>631306.16771399998</v>
      </c>
      <c r="J44">
        <v>0.60148500000000005</v>
      </c>
      <c r="K44">
        <v>0.309253</v>
      </c>
      <c r="L44">
        <v>-0.596997</v>
      </c>
      <c r="M44">
        <v>-113.715278</v>
      </c>
      <c r="N44">
        <v>117.854111</v>
      </c>
      <c r="O44">
        <v>331.86437999999998</v>
      </c>
      <c r="Q44" s="75"/>
      <c r="R44" s="75"/>
      <c r="S44" s="75"/>
    </row>
    <row r="45" spans="1:19" hidden="1">
      <c r="A45">
        <v>42812.024595000003</v>
      </c>
      <c r="B45">
        <v>161913.38368500001</v>
      </c>
      <c r="C45">
        <v>2284119.9501749999</v>
      </c>
      <c r="D45">
        <v>24017.092939999999</v>
      </c>
      <c r="E45">
        <v>32747.900991999999</v>
      </c>
      <c r="F45">
        <v>4011.0620479999998</v>
      </c>
      <c r="G45">
        <v>11306847.994883001</v>
      </c>
      <c r="H45">
        <v>156912.08089099999</v>
      </c>
      <c r="I45">
        <v>842871.25700900005</v>
      </c>
      <c r="J45">
        <v>0.62898200000000004</v>
      </c>
      <c r="K45">
        <v>0.30932199999999999</v>
      </c>
      <c r="L45">
        <v>-0.59535899999999997</v>
      </c>
      <c r="M45">
        <v>-136.28472199999999</v>
      </c>
      <c r="N45">
        <v>119.376564</v>
      </c>
      <c r="O45">
        <v>334.95272299999999</v>
      </c>
      <c r="Q45" s="75"/>
      <c r="R45" s="75"/>
      <c r="S45" s="75"/>
    </row>
    <row r="46" spans="1:19" hidden="1">
      <c r="A46">
        <v>27949.218854999999</v>
      </c>
      <c r="B46">
        <v>162275.857731</v>
      </c>
      <c r="C46">
        <v>2970040.5485640001</v>
      </c>
      <c r="D46">
        <v>25474.112859000001</v>
      </c>
      <c r="E46">
        <v>32752.436616999999</v>
      </c>
      <c r="F46">
        <v>4298.975058</v>
      </c>
      <c r="G46">
        <v>39892976.215833001</v>
      </c>
      <c r="H46">
        <v>144658.449039</v>
      </c>
      <c r="I46">
        <v>658810.56107699999</v>
      </c>
      <c r="J46">
        <v>0.62756100000000004</v>
      </c>
      <c r="K46">
        <v>0.30484600000000001</v>
      </c>
      <c r="L46">
        <v>-0.59530000000000005</v>
      </c>
      <c r="M46">
        <v>-101.5625</v>
      </c>
      <c r="N46">
        <v>113.87608299999999</v>
      </c>
      <c r="O46">
        <v>330.687883</v>
      </c>
      <c r="Q46" s="75"/>
      <c r="R46" s="75"/>
      <c r="S46" s="75"/>
    </row>
    <row r="47" spans="1:19" hidden="1">
      <c r="A47">
        <v>28366.839457999999</v>
      </c>
      <c r="B47">
        <v>1822290.0225730001</v>
      </c>
      <c r="C47">
        <v>2950560.0258300002</v>
      </c>
      <c r="D47">
        <v>25787.822717999999</v>
      </c>
      <c r="E47">
        <v>30132.010291999999</v>
      </c>
      <c r="F47">
        <v>4411.75137</v>
      </c>
      <c r="G47">
        <v>39813107.921919003</v>
      </c>
      <c r="H47">
        <v>213472.671611</v>
      </c>
      <c r="I47">
        <v>2999983.8018729999</v>
      </c>
      <c r="J47">
        <v>0.51564200000000004</v>
      </c>
      <c r="K47">
        <v>0.63998999999999995</v>
      </c>
      <c r="L47">
        <v>-0.59891899999999998</v>
      </c>
      <c r="M47">
        <v>-195.3125</v>
      </c>
      <c r="N47">
        <v>883.88220200000001</v>
      </c>
      <c r="O47">
        <v>255.91357500000001</v>
      </c>
      <c r="Q47" s="75"/>
      <c r="R47" s="75"/>
      <c r="S47" s="75"/>
    </row>
    <row r="48" spans="1:19" hidden="1">
      <c r="A48">
        <v>28366.839457999999</v>
      </c>
      <c r="B48">
        <v>2086580.8257919999</v>
      </c>
      <c r="C48">
        <v>2950560.0258300002</v>
      </c>
      <c r="D48">
        <v>25735.328247000001</v>
      </c>
      <c r="E48">
        <v>30132.010291999999</v>
      </c>
      <c r="F48">
        <v>4411.75137</v>
      </c>
      <c r="G48">
        <v>39813107.921919003</v>
      </c>
      <c r="H48">
        <v>211245.64783900001</v>
      </c>
      <c r="I48">
        <v>2990145.5504589998</v>
      </c>
      <c r="J48">
        <v>0.51564200000000004</v>
      </c>
      <c r="K48">
        <v>0.63998999999999995</v>
      </c>
      <c r="L48">
        <v>-0.59891899999999998</v>
      </c>
      <c r="M48">
        <v>-190.10416699999999</v>
      </c>
      <c r="N48">
        <v>893.59863299999995</v>
      </c>
      <c r="O48">
        <v>255.435507</v>
      </c>
      <c r="Q48" s="75"/>
      <c r="R48" s="75"/>
      <c r="S48" s="75"/>
    </row>
    <row r="49" spans="1:19" hidden="1">
      <c r="A49">
        <v>15395.472641</v>
      </c>
      <c r="B49">
        <v>160274.53742000001</v>
      </c>
      <c r="C49">
        <v>2928862.970346</v>
      </c>
      <c r="D49">
        <v>28433.527507999999</v>
      </c>
      <c r="E49">
        <v>30056.797465</v>
      </c>
      <c r="F49">
        <v>4127.4005020000004</v>
      </c>
      <c r="G49">
        <v>38783518.310116</v>
      </c>
      <c r="H49">
        <v>201201.978069</v>
      </c>
      <c r="I49">
        <v>2999211.8952290001</v>
      </c>
      <c r="J49">
        <v>0.38895999999999997</v>
      </c>
      <c r="K49">
        <v>0.62265700000000002</v>
      </c>
      <c r="L49">
        <v>-0.32712400000000003</v>
      </c>
      <c r="M49">
        <v>-219.618056</v>
      </c>
      <c r="N49">
        <v>459.279449</v>
      </c>
      <c r="O49">
        <v>267.072701</v>
      </c>
      <c r="Q49" s="75"/>
      <c r="R49" s="75"/>
      <c r="S49" s="75"/>
    </row>
    <row r="50" spans="1:19" hidden="1">
      <c r="A50">
        <v>42942.850399000003</v>
      </c>
      <c r="B50">
        <v>183320.36777700001</v>
      </c>
      <c r="C50">
        <v>2845783.7663270002</v>
      </c>
      <c r="D50">
        <v>24156.527876</v>
      </c>
      <c r="E50">
        <v>30135.400191000001</v>
      </c>
      <c r="F50">
        <v>4050.9738050000001</v>
      </c>
      <c r="G50">
        <v>35510843.527332999</v>
      </c>
      <c r="H50">
        <v>213131.09780700001</v>
      </c>
      <c r="I50">
        <v>2984716.7349959998</v>
      </c>
      <c r="J50">
        <v>0.55815700000000001</v>
      </c>
      <c r="K50">
        <v>0.63998999999999995</v>
      </c>
      <c r="L50">
        <v>-0.59512600000000004</v>
      </c>
      <c r="M50">
        <v>-226.5625</v>
      </c>
      <c r="N50">
        <v>826.97363299999995</v>
      </c>
      <c r="O50">
        <v>258.68197900000001</v>
      </c>
      <c r="Q50" s="75"/>
      <c r="R50" s="75"/>
      <c r="S50" s="75"/>
    </row>
    <row r="51" spans="1:19" hidden="1">
      <c r="A51">
        <v>45573.382382000003</v>
      </c>
      <c r="B51">
        <v>160274.53742000001</v>
      </c>
      <c r="C51">
        <v>1226844.072615</v>
      </c>
      <c r="D51">
        <v>24523.749952999999</v>
      </c>
      <c r="E51">
        <v>30096.761320000001</v>
      </c>
      <c r="F51">
        <v>4127.4005020000004</v>
      </c>
      <c r="G51">
        <v>38783518.310116</v>
      </c>
      <c r="H51">
        <v>201201.978069</v>
      </c>
      <c r="I51">
        <v>2929377.1806129999</v>
      </c>
      <c r="J51">
        <v>0.39391599999999999</v>
      </c>
      <c r="K51">
        <v>0.63978100000000004</v>
      </c>
      <c r="L51">
        <v>-0.32712400000000003</v>
      </c>
      <c r="M51">
        <v>-179.6875</v>
      </c>
      <c r="N51">
        <v>440.68060300000002</v>
      </c>
      <c r="O51">
        <v>265.21613600000001</v>
      </c>
      <c r="Q51" s="75"/>
      <c r="R51" s="75"/>
      <c r="S51" s="75"/>
    </row>
    <row r="52" spans="1:19" hidden="1">
      <c r="A52">
        <v>24546.38435</v>
      </c>
      <c r="B52">
        <v>160076.245218</v>
      </c>
      <c r="C52">
        <v>205640.84986300001</v>
      </c>
      <c r="D52">
        <v>27195.068963999998</v>
      </c>
      <c r="E52">
        <v>30034.234671999999</v>
      </c>
      <c r="F52">
        <v>4587.1655719999999</v>
      </c>
      <c r="G52">
        <v>39633589.613518998</v>
      </c>
      <c r="H52">
        <v>169921.223902</v>
      </c>
      <c r="I52">
        <v>2985254.9361680001</v>
      </c>
      <c r="J52">
        <v>0.42446299999999998</v>
      </c>
      <c r="K52">
        <v>0.63374399999999997</v>
      </c>
      <c r="L52">
        <v>-0.43876300000000001</v>
      </c>
      <c r="M52">
        <v>-231.77083300000001</v>
      </c>
      <c r="N52">
        <v>467.83804300000003</v>
      </c>
      <c r="O52">
        <v>265.31378799999999</v>
      </c>
      <c r="Q52" s="75"/>
      <c r="R52" s="75"/>
      <c r="S52" s="75"/>
    </row>
    <row r="53" spans="1:19" hidden="1">
      <c r="A53">
        <v>30977.265833000001</v>
      </c>
      <c r="B53">
        <v>160572.674486</v>
      </c>
      <c r="C53">
        <v>451273.12298500002</v>
      </c>
      <c r="D53">
        <v>24492.716139</v>
      </c>
      <c r="E53">
        <v>36776.541176999999</v>
      </c>
      <c r="F53">
        <v>12531.493388999999</v>
      </c>
      <c r="G53">
        <v>39114338.717656001</v>
      </c>
      <c r="H53">
        <v>18095.326039</v>
      </c>
      <c r="I53">
        <v>452027.96421000001</v>
      </c>
      <c r="J53">
        <v>0.27492800000000001</v>
      </c>
      <c r="K53">
        <v>0.63905500000000004</v>
      </c>
      <c r="L53">
        <v>-0.17232500000000001</v>
      </c>
      <c r="M53">
        <v>-92.881944000000004</v>
      </c>
      <c r="N53">
        <v>284.266144</v>
      </c>
      <c r="O53">
        <v>278.73150500000003</v>
      </c>
      <c r="Q53" s="75"/>
      <c r="R53" s="75"/>
      <c r="S53" s="75"/>
    </row>
    <row r="54" spans="1:19" hidden="1">
      <c r="A54">
        <v>6638.0613430000003</v>
      </c>
      <c r="B54">
        <v>177593.46470099999</v>
      </c>
      <c r="C54">
        <v>274841.51484999998</v>
      </c>
      <c r="D54">
        <v>24221.882387000001</v>
      </c>
      <c r="E54">
        <v>33199.374344000003</v>
      </c>
      <c r="F54">
        <v>4048.7237129999999</v>
      </c>
      <c r="G54">
        <v>5111683.8673949996</v>
      </c>
      <c r="H54">
        <v>206552.108201</v>
      </c>
      <c r="I54">
        <v>511368.49662799999</v>
      </c>
      <c r="J54">
        <v>0.62929100000000004</v>
      </c>
      <c r="K54">
        <v>0.23593900000000001</v>
      </c>
      <c r="L54">
        <v>-0.59909400000000002</v>
      </c>
      <c r="M54">
        <v>-77.256944000000004</v>
      </c>
      <c r="N54">
        <v>96.816254000000001</v>
      </c>
      <c r="O54">
        <v>369.25527799999998</v>
      </c>
      <c r="Q54" s="75"/>
      <c r="R54" s="75"/>
      <c r="S54" s="75"/>
    </row>
    <row r="55" spans="1:19" hidden="1">
      <c r="A55">
        <v>27358.599589000001</v>
      </c>
      <c r="B55">
        <v>160338.25110600001</v>
      </c>
      <c r="C55">
        <v>1401166.29797</v>
      </c>
      <c r="D55">
        <v>25529.436204000001</v>
      </c>
      <c r="E55">
        <v>30061.552275999999</v>
      </c>
      <c r="F55">
        <v>4046.6419649999998</v>
      </c>
      <c r="G55">
        <v>4498693.7207749998</v>
      </c>
      <c r="H55">
        <v>241992.39577199999</v>
      </c>
      <c r="I55">
        <v>478012.38226400001</v>
      </c>
      <c r="J55">
        <v>0.57677199999999995</v>
      </c>
      <c r="K55">
        <v>0.21659600000000001</v>
      </c>
      <c r="L55">
        <v>-0.59627799999999997</v>
      </c>
      <c r="M55">
        <v>-73.784722000000002</v>
      </c>
      <c r="N55">
        <v>94.213013000000004</v>
      </c>
      <c r="O55">
        <v>397.78449499999999</v>
      </c>
      <c r="Q55" s="75"/>
      <c r="R55" s="75"/>
      <c r="S55" s="75"/>
    </row>
    <row r="56" spans="1:19" hidden="1">
      <c r="A56">
        <v>42694.936255000001</v>
      </c>
      <c r="B56">
        <v>161919.08512199999</v>
      </c>
      <c r="C56">
        <v>2284119.9501749999</v>
      </c>
      <c r="D56">
        <v>24017.092939999999</v>
      </c>
      <c r="E56">
        <v>32747.900991999999</v>
      </c>
      <c r="F56">
        <v>4011.0620479999998</v>
      </c>
      <c r="G56">
        <v>11306847.994883001</v>
      </c>
      <c r="H56">
        <v>156912.08089099999</v>
      </c>
      <c r="I56">
        <v>849336.87734799995</v>
      </c>
      <c r="J56">
        <v>0.62663999999999997</v>
      </c>
      <c r="K56">
        <v>0.30932199999999999</v>
      </c>
      <c r="L56">
        <v>-0.59535899999999997</v>
      </c>
      <c r="M56">
        <v>-138.02083300000001</v>
      </c>
      <c r="N56">
        <v>119.591446</v>
      </c>
      <c r="O56">
        <v>334.901207</v>
      </c>
      <c r="Q56" s="75"/>
      <c r="R56" s="75"/>
      <c r="S56" s="75"/>
    </row>
    <row r="57" spans="1:19" hidden="1">
      <c r="A57">
        <v>44799.825459</v>
      </c>
      <c r="B57">
        <v>160569.11657400001</v>
      </c>
      <c r="C57">
        <v>2931928.9223079998</v>
      </c>
      <c r="D57">
        <v>24017.215562000001</v>
      </c>
      <c r="E57">
        <v>38876.690778999997</v>
      </c>
      <c r="F57">
        <v>4286.9201839999996</v>
      </c>
      <c r="G57">
        <v>13956108.740186</v>
      </c>
      <c r="H57">
        <v>162142.96356</v>
      </c>
      <c r="I57">
        <v>846733.03867699997</v>
      </c>
      <c r="J57">
        <v>0.62027200000000005</v>
      </c>
      <c r="K57">
        <v>0.30800499999999997</v>
      </c>
      <c r="L57">
        <v>-0.59315899999999999</v>
      </c>
      <c r="M57">
        <v>-136.28472199999999</v>
      </c>
      <c r="N57">
        <v>120.04289199999999</v>
      </c>
      <c r="O57">
        <v>334.36487</v>
      </c>
      <c r="Q57" s="75"/>
      <c r="R57" s="75"/>
      <c r="S57" s="75"/>
    </row>
    <row r="58" spans="1:19" hidden="1">
      <c r="A58">
        <v>24719.422237999999</v>
      </c>
      <c r="B58">
        <v>209483.61364</v>
      </c>
      <c r="C58">
        <v>2917429.2183920001</v>
      </c>
      <c r="D58">
        <v>25735.328247000001</v>
      </c>
      <c r="E58">
        <v>30092.026967000002</v>
      </c>
      <c r="F58">
        <v>4411.75137</v>
      </c>
      <c r="G58">
        <v>39813107.921919003</v>
      </c>
      <c r="H58">
        <v>212585.38398499999</v>
      </c>
      <c r="I58">
        <v>2990145.5504589998</v>
      </c>
      <c r="J58">
        <v>0.50987400000000005</v>
      </c>
      <c r="K58">
        <v>0.63821399999999995</v>
      </c>
      <c r="L58">
        <v>-0.59891899999999998</v>
      </c>
      <c r="M58">
        <v>-223.09027800000001</v>
      </c>
      <c r="N58">
        <v>702.35571300000004</v>
      </c>
      <c r="O58">
        <v>260.09284700000001</v>
      </c>
      <c r="Q58" s="75"/>
      <c r="R58" s="75"/>
      <c r="S58" s="75"/>
    </row>
    <row r="59" spans="1:19" hidden="1">
      <c r="A59">
        <v>24752.558815</v>
      </c>
      <c r="B59">
        <v>160568.55126499999</v>
      </c>
      <c r="C59">
        <v>547846.986011</v>
      </c>
      <c r="D59">
        <v>25498.35787</v>
      </c>
      <c r="E59">
        <v>41776.489378999999</v>
      </c>
      <c r="F59">
        <v>13123.725006999999</v>
      </c>
      <c r="G59">
        <v>6542041.6100700004</v>
      </c>
      <c r="H59">
        <v>161815.307099</v>
      </c>
      <c r="I59">
        <v>384281.77660699998</v>
      </c>
      <c r="J59">
        <v>0.589445</v>
      </c>
      <c r="K59">
        <v>0.27738299999999999</v>
      </c>
      <c r="L59">
        <v>-0.59113800000000005</v>
      </c>
      <c r="M59">
        <v>-75.520832999999996</v>
      </c>
      <c r="N59">
        <v>101.33755499999999</v>
      </c>
      <c r="O59">
        <v>351.50105500000001</v>
      </c>
      <c r="Q59" s="75"/>
      <c r="R59" s="75"/>
      <c r="S59" s="75"/>
    </row>
    <row r="60" spans="1:19" hidden="1">
      <c r="A60">
        <v>47199.691716000001</v>
      </c>
      <c r="B60">
        <v>161460.46551800001</v>
      </c>
      <c r="C60">
        <v>1133531.504254</v>
      </c>
      <c r="D60">
        <v>24014.719433999999</v>
      </c>
      <c r="E60">
        <v>30075.184252999999</v>
      </c>
      <c r="F60">
        <v>4191.0505089999997</v>
      </c>
      <c r="G60">
        <v>5152692.6608769996</v>
      </c>
      <c r="H60">
        <v>17124.124442</v>
      </c>
      <c r="I60">
        <v>482916.048175</v>
      </c>
      <c r="J60">
        <v>0.62879499999999999</v>
      </c>
      <c r="K60">
        <v>0.38103500000000001</v>
      </c>
      <c r="L60">
        <v>-0.59388200000000002</v>
      </c>
      <c r="M60">
        <v>-87.673610999999994</v>
      </c>
      <c r="N60">
        <v>226.29586800000001</v>
      </c>
      <c r="O60">
        <v>289.99859199999997</v>
      </c>
      <c r="Q60" s="75"/>
      <c r="R60" s="75"/>
      <c r="S60" s="75"/>
    </row>
    <row r="61" spans="1:19" hidden="1">
      <c r="A61">
        <v>45336.448673999999</v>
      </c>
      <c r="B61">
        <v>160794.202548</v>
      </c>
      <c r="C61">
        <v>2500047.3381909998</v>
      </c>
      <c r="D61">
        <v>24004.688847000001</v>
      </c>
      <c r="E61">
        <v>32742.538596999999</v>
      </c>
      <c r="F61">
        <v>4190.9014360000001</v>
      </c>
      <c r="G61">
        <v>14048871.348314</v>
      </c>
      <c r="H61">
        <v>153638.62017099999</v>
      </c>
      <c r="I61">
        <v>843009.61164699995</v>
      </c>
      <c r="J61">
        <v>0.59407500000000002</v>
      </c>
      <c r="K61">
        <v>0.309253</v>
      </c>
      <c r="L61">
        <v>-0.59530000000000005</v>
      </c>
      <c r="M61">
        <v>-131.07638900000001</v>
      </c>
      <c r="N61">
        <v>123.98024700000001</v>
      </c>
      <c r="O61">
        <v>332.61519700000002</v>
      </c>
      <c r="Q61" s="75"/>
      <c r="R61" s="75"/>
      <c r="S61" s="75"/>
    </row>
    <row r="62" spans="1:19" hidden="1">
      <c r="A62">
        <v>44047.832561000003</v>
      </c>
      <c r="B62">
        <v>169365.201979</v>
      </c>
      <c r="C62">
        <v>281433.60466700001</v>
      </c>
      <c r="D62">
        <v>25240.657298999999</v>
      </c>
      <c r="E62">
        <v>32613.938279000002</v>
      </c>
      <c r="F62">
        <v>4009.76998</v>
      </c>
      <c r="G62">
        <v>36357947.214850001</v>
      </c>
      <c r="H62">
        <v>49870.504081999999</v>
      </c>
      <c r="I62">
        <v>636109.94562599994</v>
      </c>
      <c r="J62">
        <v>0.63968100000000006</v>
      </c>
      <c r="K62">
        <v>0.338671</v>
      </c>
      <c r="L62">
        <v>-0.59830300000000003</v>
      </c>
      <c r="M62">
        <v>-111.979167</v>
      </c>
      <c r="N62">
        <v>128.23799099999999</v>
      </c>
      <c r="O62">
        <v>316.55642</v>
      </c>
      <c r="Q62" s="75"/>
      <c r="R62" s="75"/>
      <c r="S62" s="75"/>
    </row>
    <row r="63" spans="1:19" hidden="1">
      <c r="A63">
        <v>29063.925154</v>
      </c>
      <c r="B63">
        <v>1751699.6610119999</v>
      </c>
      <c r="C63">
        <v>204554.31769699999</v>
      </c>
      <c r="D63">
        <v>33106.800631999999</v>
      </c>
      <c r="E63">
        <v>30964.877014999998</v>
      </c>
      <c r="F63">
        <v>5428.4838829999999</v>
      </c>
      <c r="G63">
        <v>38999127.718773998</v>
      </c>
      <c r="H63">
        <v>154512.84835700001</v>
      </c>
      <c r="I63">
        <v>2829724.9060669998</v>
      </c>
      <c r="J63">
        <v>0.59417600000000004</v>
      </c>
      <c r="K63">
        <v>0.63967600000000002</v>
      </c>
      <c r="L63">
        <v>-0.577013</v>
      </c>
      <c r="M63">
        <v>-240.45138900000001</v>
      </c>
      <c r="N63">
        <v>967.47265600000003</v>
      </c>
      <c r="O63">
        <v>258.45863100000003</v>
      </c>
      <c r="Q63" s="75"/>
      <c r="R63" s="75"/>
      <c r="S63" s="75"/>
    </row>
    <row r="64" spans="1:19" hidden="1">
      <c r="A64">
        <v>23890.661741</v>
      </c>
      <c r="B64">
        <v>160375.132813</v>
      </c>
      <c r="C64">
        <v>1808090.980456</v>
      </c>
      <c r="D64">
        <v>25749.396513</v>
      </c>
      <c r="E64">
        <v>30083.332023999999</v>
      </c>
      <c r="F64">
        <v>4039.5313059999999</v>
      </c>
      <c r="G64">
        <v>5369917.1810999997</v>
      </c>
      <c r="H64">
        <v>55650.094731999998</v>
      </c>
      <c r="I64">
        <v>475539.50408899999</v>
      </c>
      <c r="J64">
        <v>0.61302400000000001</v>
      </c>
      <c r="K64">
        <v>0.34603899999999999</v>
      </c>
      <c r="L64">
        <v>-0.58315499999999998</v>
      </c>
      <c r="M64">
        <v>-87.673610999999994</v>
      </c>
      <c r="N64">
        <v>153.186172</v>
      </c>
      <c r="O64">
        <v>313.136482</v>
      </c>
      <c r="Q64" s="75"/>
      <c r="R64" s="75"/>
      <c r="S64" s="75"/>
    </row>
    <row r="65" spans="1:19" hidden="1">
      <c r="A65">
        <v>44434.219981000002</v>
      </c>
      <c r="B65">
        <v>165005.66641500001</v>
      </c>
      <c r="C65">
        <v>2788339.1751060002</v>
      </c>
      <c r="D65">
        <v>24187.914655</v>
      </c>
      <c r="E65">
        <v>30467.817088</v>
      </c>
      <c r="F65">
        <v>4021.8186260000002</v>
      </c>
      <c r="G65">
        <v>39678231.339598</v>
      </c>
      <c r="H65">
        <v>239157.94418799999</v>
      </c>
      <c r="I65">
        <v>2998186.1440570001</v>
      </c>
      <c r="J65">
        <v>0.48182999999999998</v>
      </c>
      <c r="K65">
        <v>0.63638700000000004</v>
      </c>
      <c r="L65">
        <v>-0.51028499999999999</v>
      </c>
      <c r="M65">
        <v>-188.368056</v>
      </c>
      <c r="N65">
        <v>620.93524200000002</v>
      </c>
      <c r="O65">
        <v>260.07936999999998</v>
      </c>
      <c r="Q65" s="75"/>
      <c r="R65" s="75"/>
      <c r="S65" s="75"/>
    </row>
    <row r="66" spans="1:19" hidden="1">
      <c r="A66">
        <v>30682.992888000001</v>
      </c>
      <c r="B66">
        <v>160578.43659999999</v>
      </c>
      <c r="C66">
        <v>274679.44027700002</v>
      </c>
      <c r="D66">
        <v>24485.394564999999</v>
      </c>
      <c r="E66">
        <v>30973.548180000002</v>
      </c>
      <c r="F66">
        <v>4394.8769169999996</v>
      </c>
      <c r="G66">
        <v>30568114.688069001</v>
      </c>
      <c r="H66">
        <v>22512.189947999999</v>
      </c>
      <c r="I66">
        <v>559541.44833299995</v>
      </c>
      <c r="J66">
        <v>0.27080700000000002</v>
      </c>
      <c r="K66">
        <v>0.63996900000000001</v>
      </c>
      <c r="L66">
        <v>-0.17166500000000001</v>
      </c>
      <c r="M66">
        <v>-105.034722</v>
      </c>
      <c r="N66">
        <v>281.01171900000003</v>
      </c>
      <c r="O66">
        <v>286.24485800000002</v>
      </c>
      <c r="Q66" s="75"/>
      <c r="R66" s="75"/>
      <c r="S66" s="75"/>
    </row>
    <row r="67" spans="1:19" hidden="1">
      <c r="A67">
        <v>26995.239238999999</v>
      </c>
      <c r="B67">
        <v>160270.30182299999</v>
      </c>
      <c r="C67">
        <v>209907.88091899999</v>
      </c>
      <c r="D67">
        <v>27119.639079</v>
      </c>
      <c r="E67">
        <v>31085.712318999998</v>
      </c>
      <c r="F67">
        <v>4027.6735290000001</v>
      </c>
      <c r="G67">
        <v>37587302.590363003</v>
      </c>
      <c r="H67">
        <v>165606.005879</v>
      </c>
      <c r="I67">
        <v>735469.94664500002</v>
      </c>
      <c r="J67">
        <v>0.62632699999999997</v>
      </c>
      <c r="K67">
        <v>0.33663199999999999</v>
      </c>
      <c r="L67">
        <v>-0.59832600000000002</v>
      </c>
      <c r="M67">
        <v>-129.34027800000001</v>
      </c>
      <c r="N67">
        <v>131.40602100000001</v>
      </c>
      <c r="O67">
        <v>328.294601</v>
      </c>
      <c r="Q67" s="75"/>
      <c r="R67" s="75"/>
      <c r="S67" s="75"/>
    </row>
    <row r="68" spans="1:19" hidden="1">
      <c r="A68">
        <v>19074.348715</v>
      </c>
      <c r="B68">
        <v>166747.64864100001</v>
      </c>
      <c r="C68">
        <v>177924.26342100001</v>
      </c>
      <c r="D68">
        <v>25291.313542</v>
      </c>
      <c r="E68">
        <v>32244.898278000001</v>
      </c>
      <c r="F68">
        <v>4020.8472860000002</v>
      </c>
      <c r="G68">
        <v>39289838.858323999</v>
      </c>
      <c r="H68">
        <v>234562.02605099999</v>
      </c>
      <c r="I68">
        <v>2999336.391512</v>
      </c>
      <c r="J68">
        <v>0.50745300000000004</v>
      </c>
      <c r="K68">
        <v>0.63996500000000001</v>
      </c>
      <c r="L68">
        <v>-0.52602300000000002</v>
      </c>
      <c r="M68">
        <v>-212.67361099999999</v>
      </c>
      <c r="N68">
        <v>686.23974599999997</v>
      </c>
      <c r="O68">
        <v>259.339271</v>
      </c>
      <c r="Q68" s="75"/>
      <c r="R68" s="75"/>
      <c r="S68" s="75"/>
    </row>
    <row r="69" spans="1:19" hidden="1">
      <c r="A69">
        <v>26494.46068</v>
      </c>
      <c r="B69">
        <v>169863.01694</v>
      </c>
      <c r="C69">
        <v>2452164.6939719999</v>
      </c>
      <c r="D69">
        <v>24000.253182</v>
      </c>
      <c r="E69">
        <v>35203.737880000001</v>
      </c>
      <c r="F69">
        <v>4291.2597919999998</v>
      </c>
      <c r="G69">
        <v>7701046.24077</v>
      </c>
      <c r="H69">
        <v>48935.750445999998</v>
      </c>
      <c r="I69">
        <v>812301.00382800004</v>
      </c>
      <c r="J69">
        <v>0.63908799999999999</v>
      </c>
      <c r="K69">
        <v>0.33859299999999998</v>
      </c>
      <c r="L69">
        <v>-0.59897900000000004</v>
      </c>
      <c r="M69">
        <v>-117.1875</v>
      </c>
      <c r="N69">
        <v>134.451233</v>
      </c>
      <c r="O69">
        <v>326.81550099999998</v>
      </c>
      <c r="Q69" s="75"/>
      <c r="R69" s="75"/>
      <c r="S69" s="75"/>
    </row>
    <row r="70" spans="1:19" hidden="1">
      <c r="A70">
        <v>41977.343850999998</v>
      </c>
      <c r="B70">
        <v>3928289.7191150002</v>
      </c>
      <c r="C70">
        <v>2453369.3234080002</v>
      </c>
      <c r="D70">
        <v>25767.877445999999</v>
      </c>
      <c r="E70">
        <v>30085.189374000001</v>
      </c>
      <c r="F70">
        <v>4094.444704</v>
      </c>
      <c r="G70">
        <v>39596802.205571003</v>
      </c>
      <c r="H70">
        <v>238224.07106399999</v>
      </c>
      <c r="I70">
        <v>2997930.9225280001</v>
      </c>
      <c r="J70">
        <v>0.59454499999999999</v>
      </c>
      <c r="K70">
        <v>0.59629799999999999</v>
      </c>
      <c r="L70">
        <v>-0.36860799999999999</v>
      </c>
      <c r="M70">
        <v>-224.82638900000001</v>
      </c>
      <c r="N70">
        <v>946.59020999999996</v>
      </c>
      <c r="O70">
        <v>254.12050199999999</v>
      </c>
      <c r="Q70" s="75"/>
      <c r="R70" s="75"/>
      <c r="S70" s="75"/>
    </row>
    <row r="71" spans="1:19" hidden="1">
      <c r="A71">
        <v>45573.382382000003</v>
      </c>
      <c r="B71">
        <v>160274.53742000001</v>
      </c>
      <c r="C71">
        <v>2955525.7240880001</v>
      </c>
      <c r="D71">
        <v>24530.417081</v>
      </c>
      <c r="E71">
        <v>30096.761320000001</v>
      </c>
      <c r="F71">
        <v>4127.4005020000004</v>
      </c>
      <c r="G71">
        <v>39776438.439726003</v>
      </c>
      <c r="H71">
        <v>213219.77105000001</v>
      </c>
      <c r="I71">
        <v>2928477.1546060001</v>
      </c>
      <c r="J71">
        <v>0.39487899999999998</v>
      </c>
      <c r="K71">
        <v>0.63978100000000004</v>
      </c>
      <c r="L71">
        <v>-0.31988299999999997</v>
      </c>
      <c r="M71">
        <v>-172.743056</v>
      </c>
      <c r="N71">
        <v>451.35864299999997</v>
      </c>
      <c r="O71">
        <v>264.842152</v>
      </c>
      <c r="Q71" s="75"/>
      <c r="R71" s="75"/>
      <c r="S71" s="75"/>
    </row>
    <row r="72" spans="1:19" hidden="1">
      <c r="A72">
        <v>28060.685885999999</v>
      </c>
      <c r="B72">
        <v>162205.36991099999</v>
      </c>
      <c r="C72">
        <v>178520.86386300001</v>
      </c>
      <c r="D72">
        <v>25354.585802000001</v>
      </c>
      <c r="E72">
        <v>30006.744286000001</v>
      </c>
      <c r="F72">
        <v>4190.2274710000002</v>
      </c>
      <c r="G72">
        <v>33251763.215534002</v>
      </c>
      <c r="H72">
        <v>144658.449039</v>
      </c>
      <c r="I72">
        <v>843009.61164699995</v>
      </c>
      <c r="J72">
        <v>0.63541000000000003</v>
      </c>
      <c r="K72">
        <v>0.34059400000000001</v>
      </c>
      <c r="L72">
        <v>-0.59748299999999999</v>
      </c>
      <c r="M72">
        <v>-146.70138900000001</v>
      </c>
      <c r="N72">
        <v>134.58441199999999</v>
      </c>
      <c r="O72">
        <v>329.26802300000003</v>
      </c>
      <c r="Q72" s="75"/>
      <c r="R72" s="75"/>
      <c r="S72" s="75"/>
    </row>
    <row r="73" spans="1:19" hidden="1">
      <c r="A73">
        <v>29462.897008</v>
      </c>
      <c r="B73">
        <v>179500.431533</v>
      </c>
      <c r="C73">
        <v>1046447.763009</v>
      </c>
      <c r="D73">
        <v>25741.257117000001</v>
      </c>
      <c r="E73">
        <v>31087.016812999998</v>
      </c>
      <c r="F73">
        <v>4017.6826259999998</v>
      </c>
      <c r="G73">
        <v>39160822.158858001</v>
      </c>
      <c r="H73">
        <v>172825.645632</v>
      </c>
      <c r="I73">
        <v>2989762.7287249998</v>
      </c>
      <c r="J73">
        <v>0.47287600000000002</v>
      </c>
      <c r="K73">
        <v>0.63988400000000001</v>
      </c>
      <c r="L73">
        <v>-0.55526600000000004</v>
      </c>
      <c r="M73">
        <v>-235.243056</v>
      </c>
      <c r="N73">
        <v>588.97857699999997</v>
      </c>
      <c r="O73">
        <v>262.12807099999998</v>
      </c>
      <c r="Q73" s="75"/>
      <c r="R73" s="75"/>
      <c r="S73" s="75"/>
    </row>
    <row r="74" spans="1:19" hidden="1">
      <c r="A74">
        <v>26995.239238999999</v>
      </c>
      <c r="B74">
        <v>160270.30182299999</v>
      </c>
      <c r="C74">
        <v>209907.88091899999</v>
      </c>
      <c r="D74">
        <v>27271.498927000001</v>
      </c>
      <c r="E74">
        <v>31190.791735999999</v>
      </c>
      <c r="F74">
        <v>4027.3690969999998</v>
      </c>
      <c r="G74">
        <v>37587302.590363003</v>
      </c>
      <c r="H74">
        <v>162617.65927400001</v>
      </c>
      <c r="I74">
        <v>735469.94664500002</v>
      </c>
      <c r="J74">
        <v>0.62632699999999997</v>
      </c>
      <c r="K74">
        <v>0.34157799999999999</v>
      </c>
      <c r="L74">
        <v>-0.59832600000000002</v>
      </c>
      <c r="M74">
        <v>-139.756944</v>
      </c>
      <c r="N74">
        <v>137.32513399999999</v>
      </c>
      <c r="O74">
        <v>327.72083700000002</v>
      </c>
      <c r="Q74" s="75"/>
      <c r="R74" s="75"/>
      <c r="S74" s="75"/>
    </row>
    <row r="75" spans="1:19" hidden="1">
      <c r="A75">
        <v>8911.1836619999995</v>
      </c>
      <c r="B75">
        <v>167077.47333199999</v>
      </c>
      <c r="C75">
        <v>2212223.2908899998</v>
      </c>
      <c r="D75">
        <v>24500.553012</v>
      </c>
      <c r="E75">
        <v>30252.125558</v>
      </c>
      <c r="F75">
        <v>4014.9024340000001</v>
      </c>
      <c r="G75">
        <v>6660962.4997340003</v>
      </c>
      <c r="H75">
        <v>237436.55261099999</v>
      </c>
      <c r="I75">
        <v>488352.47211700003</v>
      </c>
      <c r="J75">
        <v>0.63112699999999999</v>
      </c>
      <c r="K75">
        <v>0.250859</v>
      </c>
      <c r="L75">
        <v>-0.59896000000000005</v>
      </c>
      <c r="M75">
        <v>-94.618055999999996</v>
      </c>
      <c r="N75">
        <v>97.850059999999999</v>
      </c>
      <c r="O75">
        <v>363.53890699999999</v>
      </c>
      <c r="Q75" s="75"/>
      <c r="R75" s="75"/>
      <c r="S75" s="75"/>
    </row>
    <row r="76" spans="1:19" hidden="1">
      <c r="A76">
        <v>22179.531432</v>
      </c>
      <c r="B76">
        <v>160348.34849400001</v>
      </c>
      <c r="C76">
        <v>463962.514646</v>
      </c>
      <c r="D76">
        <v>27070.403343000002</v>
      </c>
      <c r="E76">
        <v>46207.143904999997</v>
      </c>
      <c r="F76">
        <v>5970.6709769999998</v>
      </c>
      <c r="G76">
        <v>4502850.7363670003</v>
      </c>
      <c r="H76">
        <v>203800.383107</v>
      </c>
      <c r="I76">
        <v>502935.74375000002</v>
      </c>
      <c r="J76">
        <v>0.59812100000000001</v>
      </c>
      <c r="K76">
        <v>0.21650700000000001</v>
      </c>
      <c r="L76">
        <v>-0.59716000000000002</v>
      </c>
      <c r="M76">
        <v>-70.3125</v>
      </c>
      <c r="N76">
        <v>94.463813999999999</v>
      </c>
      <c r="O76">
        <v>382.90011800000002</v>
      </c>
      <c r="Q76" s="75"/>
      <c r="R76" s="75"/>
      <c r="S76" s="75"/>
    </row>
    <row r="77" spans="1:19" hidden="1">
      <c r="A77">
        <v>24708.673523000001</v>
      </c>
      <c r="B77">
        <v>177487.962073</v>
      </c>
      <c r="C77">
        <v>2950319.2867299998</v>
      </c>
      <c r="D77">
        <v>25341.132468</v>
      </c>
      <c r="E77">
        <v>30043.943673999998</v>
      </c>
      <c r="F77">
        <v>4013.1932019999999</v>
      </c>
      <c r="G77">
        <v>39300761.230237998</v>
      </c>
      <c r="H77">
        <v>242538.984879</v>
      </c>
      <c r="I77">
        <v>2993503.417227</v>
      </c>
      <c r="J77">
        <v>0.50361699999999998</v>
      </c>
      <c r="K77">
        <v>0.63986399999999999</v>
      </c>
      <c r="L77">
        <v>-0.52524400000000004</v>
      </c>
      <c r="M77">
        <v>-186.631944</v>
      </c>
      <c r="N77">
        <v>680.75439500000005</v>
      </c>
      <c r="O77">
        <v>258.95336500000002</v>
      </c>
      <c r="Q77" s="75"/>
      <c r="R77" s="75"/>
      <c r="S77" s="75"/>
    </row>
    <row r="78" spans="1:19" hidden="1">
      <c r="A78">
        <v>48077.425009999999</v>
      </c>
      <c r="B78">
        <v>163213.07638099999</v>
      </c>
      <c r="C78">
        <v>128689.77097500001</v>
      </c>
      <c r="D78">
        <v>24701.061953</v>
      </c>
      <c r="E78">
        <v>30082.033996999999</v>
      </c>
      <c r="F78">
        <v>4099.7176049999998</v>
      </c>
      <c r="G78">
        <v>39762261.502549</v>
      </c>
      <c r="H78">
        <v>238641.64366599999</v>
      </c>
      <c r="I78">
        <v>2998733.0047189998</v>
      </c>
      <c r="J78">
        <v>0.438948</v>
      </c>
      <c r="K78">
        <v>0.62138000000000004</v>
      </c>
      <c r="L78">
        <v>-0.45408100000000001</v>
      </c>
      <c r="M78">
        <v>-216.14583300000001</v>
      </c>
      <c r="N78">
        <v>531.24761999999998</v>
      </c>
      <c r="O78">
        <v>263.43392799999998</v>
      </c>
      <c r="Q78" s="75"/>
      <c r="R78" s="75"/>
      <c r="S78" s="75"/>
    </row>
    <row r="79" spans="1:19" hidden="1">
      <c r="A79">
        <v>23890.661741</v>
      </c>
      <c r="B79">
        <v>160375.132813</v>
      </c>
      <c r="C79">
        <v>2246768.2584699998</v>
      </c>
      <c r="D79">
        <v>25749.396513</v>
      </c>
      <c r="E79">
        <v>30061.552275999999</v>
      </c>
      <c r="F79">
        <v>4039.4121409999998</v>
      </c>
      <c r="G79">
        <v>4464668.9984670002</v>
      </c>
      <c r="H79">
        <v>248304.86814400001</v>
      </c>
      <c r="I79">
        <v>475539.50408899999</v>
      </c>
      <c r="J79">
        <v>0.60795200000000005</v>
      </c>
      <c r="K79">
        <v>0.21562999999999999</v>
      </c>
      <c r="L79">
        <v>-0.59627799999999997</v>
      </c>
      <c r="M79">
        <v>-73.784722000000002</v>
      </c>
      <c r="N79">
        <v>93.539901999999998</v>
      </c>
      <c r="O79">
        <v>406.59981399999998</v>
      </c>
      <c r="Q79" s="75"/>
      <c r="R79" s="75"/>
      <c r="S79" s="75"/>
    </row>
    <row r="80" spans="1:19" hidden="1">
      <c r="A80">
        <v>26968.961899000002</v>
      </c>
      <c r="B80">
        <v>160270.30182299999</v>
      </c>
      <c r="C80">
        <v>209907.88091899999</v>
      </c>
      <c r="D80">
        <v>25224.945135999998</v>
      </c>
      <c r="E80">
        <v>31190.791735999999</v>
      </c>
      <c r="F80">
        <v>4037.841848</v>
      </c>
      <c r="G80">
        <v>8041734.8214880005</v>
      </c>
      <c r="H80">
        <v>162617.65927400001</v>
      </c>
      <c r="I80">
        <v>757078.18031900004</v>
      </c>
      <c r="J80">
        <v>0.62549999999999994</v>
      </c>
      <c r="K80">
        <v>0.34157799999999999</v>
      </c>
      <c r="L80">
        <v>-0.59832600000000002</v>
      </c>
      <c r="M80">
        <v>-219.618056</v>
      </c>
      <c r="N80">
        <v>137.94639599999999</v>
      </c>
      <c r="O80">
        <v>333.15724899999998</v>
      </c>
      <c r="Q80" s="75"/>
      <c r="R80" s="75"/>
      <c r="S80" s="75"/>
    </row>
    <row r="81" spans="1:19" hidden="1">
      <c r="A81">
        <v>28060.685885999999</v>
      </c>
      <c r="B81">
        <v>160186.38951000001</v>
      </c>
      <c r="C81">
        <v>2499695.3607609998</v>
      </c>
      <c r="D81">
        <v>25474.112859000001</v>
      </c>
      <c r="E81">
        <v>30046.559694</v>
      </c>
      <c r="F81">
        <v>4190.2274710000002</v>
      </c>
      <c r="G81">
        <v>38067323.845729001</v>
      </c>
      <c r="H81">
        <v>144658.449039</v>
      </c>
      <c r="I81">
        <v>843009.61164699995</v>
      </c>
      <c r="J81">
        <v>0.62756100000000004</v>
      </c>
      <c r="K81">
        <v>0.34218599999999999</v>
      </c>
      <c r="L81">
        <v>-0.59884999999999999</v>
      </c>
      <c r="M81">
        <v>-148.4375</v>
      </c>
      <c r="N81">
        <v>140.92605599999999</v>
      </c>
      <c r="O81">
        <v>328.74209400000001</v>
      </c>
      <c r="Q81" s="75"/>
      <c r="R81" s="75"/>
      <c r="S81" s="75"/>
    </row>
    <row r="82" spans="1:19" hidden="1">
      <c r="A82">
        <v>26995.239238999999</v>
      </c>
      <c r="B82">
        <v>166700.27246899999</v>
      </c>
      <c r="C82">
        <v>176190.00653099999</v>
      </c>
      <c r="D82">
        <v>25302.430260000001</v>
      </c>
      <c r="E82">
        <v>32200.002963999999</v>
      </c>
      <c r="F82">
        <v>4020.7834269999998</v>
      </c>
      <c r="G82">
        <v>37587302.590363003</v>
      </c>
      <c r="H82">
        <v>162617.65927400001</v>
      </c>
      <c r="I82">
        <v>735469.94664500002</v>
      </c>
      <c r="J82">
        <v>0.62632699999999997</v>
      </c>
      <c r="K82">
        <v>0.34765400000000002</v>
      </c>
      <c r="L82">
        <v>-0.59832600000000002</v>
      </c>
      <c r="M82">
        <v>-153.64583300000001</v>
      </c>
      <c r="N82">
        <v>144.589935</v>
      </c>
      <c r="O82">
        <v>327.21334899999999</v>
      </c>
      <c r="Q82" s="75"/>
      <c r="R82" s="75"/>
      <c r="S82" s="75"/>
    </row>
    <row r="83" spans="1:19" hidden="1">
      <c r="A83">
        <v>31170.335875000001</v>
      </c>
      <c r="B83">
        <v>3991890.2830920001</v>
      </c>
      <c r="C83">
        <v>1068625.48642</v>
      </c>
      <c r="D83">
        <v>25767.877445999999</v>
      </c>
      <c r="E83">
        <v>30082.792222</v>
      </c>
      <c r="F83">
        <v>4054.0739680000001</v>
      </c>
      <c r="G83">
        <v>38108601.513883002</v>
      </c>
      <c r="H83">
        <v>226595.02614100001</v>
      </c>
      <c r="I83">
        <v>2997930.9225280001</v>
      </c>
      <c r="J83">
        <v>0.59434900000000002</v>
      </c>
      <c r="K83">
        <v>0.63986699999999996</v>
      </c>
      <c r="L83">
        <v>-0.38917600000000002</v>
      </c>
      <c r="M83">
        <v>-174.47916699999999</v>
      </c>
      <c r="N83">
        <v>961.19628899999998</v>
      </c>
      <c r="O83">
        <v>249.93296000000001</v>
      </c>
      <c r="Q83" s="75"/>
      <c r="R83" s="75"/>
      <c r="S83" s="75"/>
    </row>
    <row r="84" spans="1:19" hidden="1">
      <c r="A84">
        <v>43948.711914</v>
      </c>
      <c r="B84">
        <v>239250.97736399999</v>
      </c>
      <c r="C84">
        <v>2947576.9007779998</v>
      </c>
      <c r="D84">
        <v>24288.271653</v>
      </c>
      <c r="E84">
        <v>30015.418312000002</v>
      </c>
      <c r="F84">
        <v>4017.6328520000002</v>
      </c>
      <c r="G84">
        <v>34351289.519575</v>
      </c>
      <c r="H84">
        <v>163939.35075899999</v>
      </c>
      <c r="I84">
        <v>1001008.970402</v>
      </c>
      <c r="J84">
        <v>0.61597900000000005</v>
      </c>
      <c r="K84">
        <v>0.33303700000000003</v>
      </c>
      <c r="L84">
        <v>-0.59699400000000002</v>
      </c>
      <c r="M84">
        <v>-205.72916699999999</v>
      </c>
      <c r="N84">
        <v>154.49865700000001</v>
      </c>
      <c r="O84">
        <v>330.23756700000001</v>
      </c>
      <c r="Q84" s="75"/>
      <c r="R84" s="75"/>
      <c r="S84" s="75"/>
    </row>
    <row r="85" spans="1:19" hidden="1">
      <c r="A85">
        <v>8170.8303779999997</v>
      </c>
      <c r="B85">
        <v>255598.305372</v>
      </c>
      <c r="C85">
        <v>2943664.4691460002</v>
      </c>
      <c r="D85">
        <v>24111.835824000002</v>
      </c>
      <c r="E85">
        <v>32853.033767000001</v>
      </c>
      <c r="F85">
        <v>4070.7386940000001</v>
      </c>
      <c r="G85">
        <v>34385658.928342998</v>
      </c>
      <c r="H85">
        <v>163939.35075899999</v>
      </c>
      <c r="I85">
        <v>1001008.970402</v>
      </c>
      <c r="J85">
        <v>0.61597900000000005</v>
      </c>
      <c r="K85">
        <v>0.33303700000000003</v>
      </c>
      <c r="L85">
        <v>-0.59690600000000005</v>
      </c>
      <c r="M85">
        <v>-207.46527800000001</v>
      </c>
      <c r="N85">
        <v>156.924103</v>
      </c>
      <c r="O85">
        <v>330.26128799999998</v>
      </c>
      <c r="Q85" s="75"/>
      <c r="R85" s="75"/>
      <c r="S85" s="75"/>
    </row>
    <row r="86" spans="1:19" hidden="1">
      <c r="A86">
        <v>29809.427552000001</v>
      </c>
      <c r="B86">
        <v>160270.30182299999</v>
      </c>
      <c r="C86">
        <v>133550.16889999999</v>
      </c>
      <c r="D86">
        <v>27119.639079</v>
      </c>
      <c r="E86">
        <v>31085.712318999998</v>
      </c>
      <c r="F86">
        <v>4017.7646610000002</v>
      </c>
      <c r="G86">
        <v>37587302.590363003</v>
      </c>
      <c r="H86">
        <v>21948.840476000001</v>
      </c>
      <c r="I86">
        <v>690562.02225000004</v>
      </c>
      <c r="J86">
        <v>0.63250099999999998</v>
      </c>
      <c r="K86">
        <v>0.33663199999999999</v>
      </c>
      <c r="L86">
        <v>-0.59831900000000005</v>
      </c>
      <c r="M86">
        <v>-84.201389000000006</v>
      </c>
      <c r="N86">
        <v>131.99374399999999</v>
      </c>
      <c r="O86">
        <v>311.05204300000003</v>
      </c>
      <c r="Q86" s="75"/>
      <c r="R86" s="75"/>
      <c r="S86" s="75"/>
    </row>
    <row r="87" spans="1:19" hidden="1">
      <c r="A87">
        <v>23516.550708999999</v>
      </c>
      <c r="B87">
        <v>160391.895239</v>
      </c>
      <c r="C87">
        <v>127761.26055799999</v>
      </c>
      <c r="D87">
        <v>25220.900033000002</v>
      </c>
      <c r="E87">
        <v>33826.528100000003</v>
      </c>
      <c r="F87">
        <v>4021.3542579999998</v>
      </c>
      <c r="G87">
        <v>8430407.7039020006</v>
      </c>
      <c r="H87">
        <v>207117.331374</v>
      </c>
      <c r="I87">
        <v>2964334.0788819999</v>
      </c>
      <c r="J87">
        <v>0.58755999999999997</v>
      </c>
      <c r="K87">
        <v>0.30700899999999998</v>
      </c>
      <c r="L87">
        <v>-0.59954700000000005</v>
      </c>
      <c r="M87">
        <v>-228.29861099999999</v>
      </c>
      <c r="N87">
        <v>172.303741</v>
      </c>
      <c r="O87">
        <v>336.476834</v>
      </c>
      <c r="Q87" s="75"/>
      <c r="R87" s="75"/>
      <c r="S87" s="75"/>
    </row>
    <row r="88" spans="1:19" hidden="1">
      <c r="A88">
        <v>38551.396521000002</v>
      </c>
      <c r="B88">
        <v>160828.51978</v>
      </c>
      <c r="C88">
        <v>296147.980239</v>
      </c>
      <c r="D88">
        <v>24264.961523000002</v>
      </c>
      <c r="E88">
        <v>30190.679441</v>
      </c>
      <c r="F88">
        <v>4507.2280609999998</v>
      </c>
      <c r="G88">
        <v>10486722.035692999</v>
      </c>
      <c r="H88">
        <v>58675.102121000004</v>
      </c>
      <c r="I88">
        <v>685836.43557800003</v>
      </c>
      <c r="J88">
        <v>0.56816699999999998</v>
      </c>
      <c r="K88">
        <v>0.33941300000000002</v>
      </c>
      <c r="L88">
        <v>-0.59899000000000002</v>
      </c>
      <c r="M88">
        <v>-115.45138900000001</v>
      </c>
      <c r="N88">
        <v>180.71263099999999</v>
      </c>
      <c r="O88">
        <v>318.653234</v>
      </c>
      <c r="Q88" s="75"/>
      <c r="R88" s="75"/>
      <c r="S88" s="75"/>
    </row>
    <row r="89" spans="1:19" hidden="1">
      <c r="A89">
        <v>43676.697401999998</v>
      </c>
      <c r="B89">
        <v>160828.51978</v>
      </c>
      <c r="C89">
        <v>296009.54405099998</v>
      </c>
      <c r="D89">
        <v>24264.961523000002</v>
      </c>
      <c r="E89">
        <v>30203.601997000002</v>
      </c>
      <c r="F89">
        <v>4507.2280609999998</v>
      </c>
      <c r="G89">
        <v>10486722.035692999</v>
      </c>
      <c r="H89">
        <v>58675.102121000004</v>
      </c>
      <c r="I89">
        <v>685836.43557800003</v>
      </c>
      <c r="J89">
        <v>0.56816699999999998</v>
      </c>
      <c r="K89">
        <v>0.34120299999999998</v>
      </c>
      <c r="L89">
        <v>-0.59899000000000002</v>
      </c>
      <c r="M89">
        <v>-115.45138900000001</v>
      </c>
      <c r="N89">
        <v>188.40248099999999</v>
      </c>
      <c r="O89">
        <v>318.50574399999999</v>
      </c>
      <c r="Q89" s="75"/>
      <c r="R89" s="75"/>
      <c r="S89" s="75"/>
    </row>
    <row r="90" spans="1:19" hidden="1">
      <c r="A90">
        <v>44003.965806</v>
      </c>
      <c r="B90">
        <v>160122.06586900001</v>
      </c>
      <c r="C90">
        <v>171704.018935</v>
      </c>
      <c r="D90">
        <v>26122.238071</v>
      </c>
      <c r="E90">
        <v>30002.191374000002</v>
      </c>
      <c r="F90">
        <v>4073.072259</v>
      </c>
      <c r="G90">
        <v>38377769.969607003</v>
      </c>
      <c r="H90">
        <v>169921.223902</v>
      </c>
      <c r="I90">
        <v>2969082.5476299999</v>
      </c>
      <c r="J90">
        <v>0.42744199999999999</v>
      </c>
      <c r="K90">
        <v>0.63339500000000004</v>
      </c>
      <c r="L90">
        <v>-0.43508200000000002</v>
      </c>
      <c r="M90">
        <v>-233.506944</v>
      </c>
      <c r="N90">
        <v>476.05447400000003</v>
      </c>
      <c r="O90">
        <v>264.81355200000002</v>
      </c>
      <c r="Q90" s="75"/>
      <c r="R90" s="75"/>
      <c r="S90" s="75"/>
    </row>
    <row r="91" spans="1:19" hidden="1">
      <c r="A91">
        <v>33883.517641999999</v>
      </c>
      <c r="B91">
        <v>169963.28232100001</v>
      </c>
      <c r="C91">
        <v>1149490.0721789999</v>
      </c>
      <c r="D91">
        <v>24729.079209</v>
      </c>
      <c r="E91">
        <v>32395.255546</v>
      </c>
      <c r="F91">
        <v>4027.3267049999999</v>
      </c>
      <c r="G91">
        <v>39391528.073233001</v>
      </c>
      <c r="H91">
        <v>158888.35913299999</v>
      </c>
      <c r="I91">
        <v>631248.35801099997</v>
      </c>
      <c r="J91">
        <v>0.58831999999999995</v>
      </c>
      <c r="K91">
        <v>0.35359299999999999</v>
      </c>
      <c r="L91">
        <v>-0.59682299999999999</v>
      </c>
      <c r="M91">
        <v>-144.96527800000001</v>
      </c>
      <c r="N91">
        <v>198.170883</v>
      </c>
      <c r="O91">
        <v>323.80930499999999</v>
      </c>
      <c r="Q91" s="75"/>
      <c r="R91" s="75"/>
      <c r="S91" s="75"/>
    </row>
    <row r="92" spans="1:19" hidden="1">
      <c r="A92">
        <v>33883.517641999999</v>
      </c>
      <c r="B92">
        <v>169963.28232100001</v>
      </c>
      <c r="C92">
        <v>1168920.1633339999</v>
      </c>
      <c r="D92">
        <v>25478.398246000001</v>
      </c>
      <c r="E92">
        <v>32395.255546</v>
      </c>
      <c r="F92">
        <v>4027.3267049999999</v>
      </c>
      <c r="G92">
        <v>39403124.460989997</v>
      </c>
      <c r="H92">
        <v>158888.35913299999</v>
      </c>
      <c r="I92">
        <v>714540.82626</v>
      </c>
      <c r="J92">
        <v>0.58831999999999995</v>
      </c>
      <c r="K92">
        <v>0.35359299999999999</v>
      </c>
      <c r="L92">
        <v>-0.59682299999999999</v>
      </c>
      <c r="M92">
        <v>-167.53472199999999</v>
      </c>
      <c r="N92">
        <v>204.77246099999999</v>
      </c>
      <c r="O92">
        <v>324.45499799999999</v>
      </c>
      <c r="Q92" s="75"/>
      <c r="R92" s="75"/>
      <c r="S92" s="75"/>
    </row>
    <row r="93" spans="1:19" hidden="1">
      <c r="A93">
        <v>27920.756730000001</v>
      </c>
      <c r="B93">
        <v>2130076.1050160001</v>
      </c>
      <c r="C93">
        <v>2973653.530212</v>
      </c>
      <c r="D93">
        <v>25329.052207000001</v>
      </c>
      <c r="E93">
        <v>30041.350435</v>
      </c>
      <c r="F93">
        <v>4013.1932019999999</v>
      </c>
      <c r="G93">
        <v>39551410.966573</v>
      </c>
      <c r="H93">
        <v>241198.37527300001</v>
      </c>
      <c r="I93">
        <v>2993503.417227</v>
      </c>
      <c r="J93">
        <v>0.50361699999999998</v>
      </c>
      <c r="K93">
        <v>0.63986500000000002</v>
      </c>
      <c r="L93">
        <v>-0.52524400000000004</v>
      </c>
      <c r="M93">
        <v>-172.743056</v>
      </c>
      <c r="N93">
        <v>908.06048599999997</v>
      </c>
      <c r="O93">
        <v>254.47455400000001</v>
      </c>
      <c r="Q93" s="75"/>
      <c r="R93" s="75"/>
      <c r="S93" s="75"/>
    </row>
    <row r="94" spans="1:19" hidden="1">
      <c r="A94">
        <v>40989.000527999997</v>
      </c>
      <c r="B94">
        <v>3928289.7191150002</v>
      </c>
      <c r="C94">
        <v>130414.21986500001</v>
      </c>
      <c r="D94">
        <v>24026.912124999999</v>
      </c>
      <c r="E94">
        <v>30046.201211</v>
      </c>
      <c r="F94">
        <v>4097.9628769999999</v>
      </c>
      <c r="G94">
        <v>37918103.583247997</v>
      </c>
      <c r="H94">
        <v>231204.99735399999</v>
      </c>
      <c r="I94">
        <v>2999926.7326440001</v>
      </c>
      <c r="J94">
        <v>0.59454499999999999</v>
      </c>
      <c r="K94">
        <v>0.60819400000000001</v>
      </c>
      <c r="L94">
        <v>-0.36620799999999998</v>
      </c>
      <c r="M94">
        <v>-221.35416699999999</v>
      </c>
      <c r="N94">
        <v>955.15863000000002</v>
      </c>
      <c r="O94">
        <v>252.965361</v>
      </c>
      <c r="Q94" s="75"/>
      <c r="R94" s="75"/>
      <c r="S94" s="75"/>
    </row>
    <row r="95" spans="1:19" hidden="1">
      <c r="A95">
        <v>33549.409088</v>
      </c>
      <c r="B95">
        <v>169963.28232100001</v>
      </c>
      <c r="C95">
        <v>1149490.0721789999</v>
      </c>
      <c r="D95">
        <v>24055.593948000002</v>
      </c>
      <c r="E95">
        <v>32395.255546</v>
      </c>
      <c r="F95">
        <v>4027.7295250000002</v>
      </c>
      <c r="G95">
        <v>39049329.683135003</v>
      </c>
      <c r="H95">
        <v>158888.35913299999</v>
      </c>
      <c r="I95">
        <v>633257.19060700003</v>
      </c>
      <c r="J95">
        <v>0.58532700000000004</v>
      </c>
      <c r="K95">
        <v>0.35359299999999999</v>
      </c>
      <c r="L95">
        <v>-0.59682299999999999</v>
      </c>
      <c r="M95">
        <v>-144.96527800000001</v>
      </c>
      <c r="N95">
        <v>209.717377</v>
      </c>
      <c r="O95">
        <v>323.69266199999998</v>
      </c>
      <c r="Q95" s="75"/>
      <c r="R95" s="75"/>
      <c r="S95" s="75"/>
    </row>
    <row r="96" spans="1:19" hidden="1">
      <c r="A96">
        <v>46646.768796999997</v>
      </c>
      <c r="B96">
        <v>689740.87375000003</v>
      </c>
      <c r="C96">
        <v>182504.61642599999</v>
      </c>
      <c r="D96">
        <v>26023.101613999999</v>
      </c>
      <c r="E96">
        <v>31350.219097000001</v>
      </c>
      <c r="F96">
        <v>4059.0666670000001</v>
      </c>
      <c r="G96">
        <v>37574449.864669003</v>
      </c>
      <c r="H96">
        <v>31343.369763999999</v>
      </c>
      <c r="I96">
        <v>688282.88201399997</v>
      </c>
      <c r="J96">
        <v>0.59458100000000003</v>
      </c>
      <c r="K96">
        <v>0.338675</v>
      </c>
      <c r="L96">
        <v>-0.59832600000000002</v>
      </c>
      <c r="M96">
        <v>-113.715278</v>
      </c>
      <c r="N96">
        <v>229.798599</v>
      </c>
      <c r="O96">
        <v>309.800588</v>
      </c>
      <c r="Q96" s="75"/>
      <c r="R96" s="75"/>
      <c r="S96" s="75"/>
    </row>
    <row r="97" spans="1:19" hidden="1">
      <c r="A97">
        <v>31016.004186999999</v>
      </c>
      <c r="B97">
        <v>160404.463888</v>
      </c>
      <c r="C97">
        <v>295375.03633899998</v>
      </c>
      <c r="D97">
        <v>24298.705881000002</v>
      </c>
      <c r="E97">
        <v>30137.809284999999</v>
      </c>
      <c r="F97">
        <v>4051.462411</v>
      </c>
      <c r="G97">
        <v>37936128.866356999</v>
      </c>
      <c r="H97">
        <v>164335.24460599999</v>
      </c>
      <c r="I97">
        <v>607030.130748</v>
      </c>
      <c r="J97">
        <v>0.62537699999999996</v>
      </c>
      <c r="K97">
        <v>0.38219599999999998</v>
      </c>
      <c r="L97">
        <v>-0.59832600000000002</v>
      </c>
      <c r="M97">
        <v>-132.8125</v>
      </c>
      <c r="N97">
        <v>233.228455</v>
      </c>
      <c r="O97">
        <v>322.65446900000001</v>
      </c>
      <c r="Q97" s="75"/>
      <c r="R97" s="75"/>
      <c r="S97" s="75"/>
    </row>
    <row r="98" spans="1:19" hidden="1">
      <c r="A98">
        <v>42736.590251000001</v>
      </c>
      <c r="B98">
        <v>377838.69670099998</v>
      </c>
      <c r="C98">
        <v>1875846.0058510001</v>
      </c>
      <c r="D98">
        <v>24002.102105000002</v>
      </c>
      <c r="E98">
        <v>32635.663971000002</v>
      </c>
      <c r="F98">
        <v>4034.118571</v>
      </c>
      <c r="G98">
        <v>33083248.144738</v>
      </c>
      <c r="H98">
        <v>146031.79751599999</v>
      </c>
      <c r="I98">
        <v>820287.46198400005</v>
      </c>
      <c r="J98">
        <v>0.63698299999999997</v>
      </c>
      <c r="K98">
        <v>0.367533</v>
      </c>
      <c r="L98">
        <v>-0.59848999999999997</v>
      </c>
      <c r="M98">
        <v>-230.03472199999999</v>
      </c>
      <c r="N98">
        <v>235.93630999999999</v>
      </c>
      <c r="O98">
        <v>326.00726500000002</v>
      </c>
      <c r="Q98" s="75"/>
      <c r="R98" s="75"/>
      <c r="S98" s="75"/>
    </row>
    <row r="99" spans="1:19" hidden="1">
      <c r="A99">
        <v>2046.609232</v>
      </c>
      <c r="B99">
        <v>465901.52149499999</v>
      </c>
      <c r="C99">
        <v>2973227.5819540001</v>
      </c>
      <c r="D99">
        <v>25308.011215999999</v>
      </c>
      <c r="E99">
        <v>30045.593678000001</v>
      </c>
      <c r="F99">
        <v>4020.239967</v>
      </c>
      <c r="G99">
        <v>39308097.881506003</v>
      </c>
      <c r="H99">
        <v>240022.851039</v>
      </c>
      <c r="I99">
        <v>2999943.0621509999</v>
      </c>
      <c r="J99">
        <v>0.52700199999999997</v>
      </c>
      <c r="K99">
        <v>0.63986500000000002</v>
      </c>
      <c r="L99">
        <v>-0.52524400000000004</v>
      </c>
      <c r="M99">
        <v>-203.993056</v>
      </c>
      <c r="N99">
        <v>815.24774200000002</v>
      </c>
      <c r="O99">
        <v>257.717308</v>
      </c>
      <c r="Q99" s="75"/>
      <c r="R99" s="75"/>
      <c r="S99" s="75"/>
    </row>
    <row r="100" spans="1:19" hidden="1">
      <c r="A100">
        <v>2098.296695</v>
      </c>
      <c r="B100">
        <v>465901.52149499999</v>
      </c>
      <c r="C100">
        <v>2973227.5819540001</v>
      </c>
      <c r="D100">
        <v>25308.011215999999</v>
      </c>
      <c r="E100">
        <v>30045.593678000001</v>
      </c>
      <c r="F100">
        <v>4020.239967</v>
      </c>
      <c r="G100">
        <v>39308097.881506003</v>
      </c>
      <c r="H100">
        <v>240022.851039</v>
      </c>
      <c r="I100">
        <v>2999943.0621509999</v>
      </c>
      <c r="J100">
        <v>0.52576900000000004</v>
      </c>
      <c r="K100">
        <v>0.63986500000000002</v>
      </c>
      <c r="L100">
        <v>-0.52524400000000004</v>
      </c>
      <c r="M100">
        <v>-203.993056</v>
      </c>
      <c r="N100">
        <v>812.93029799999999</v>
      </c>
      <c r="O100">
        <v>257.74837400000001</v>
      </c>
      <c r="Q100" s="75"/>
      <c r="R100" s="75"/>
      <c r="S100" s="75"/>
    </row>
    <row r="101" spans="1:19" hidden="1">
      <c r="A101">
        <v>5178.5565649999999</v>
      </c>
      <c r="B101">
        <v>161472.63993</v>
      </c>
      <c r="C101">
        <v>189450.27512499999</v>
      </c>
      <c r="D101">
        <v>24172.462638000001</v>
      </c>
      <c r="E101">
        <v>30060.531308000001</v>
      </c>
      <c r="F101">
        <v>4014.5747609999999</v>
      </c>
      <c r="G101">
        <v>39983758.803379998</v>
      </c>
      <c r="H101">
        <v>233142.34151200001</v>
      </c>
      <c r="I101">
        <v>2998643.5313550001</v>
      </c>
      <c r="J101">
        <v>0.49403900000000001</v>
      </c>
      <c r="K101">
        <v>0.63721799999999995</v>
      </c>
      <c r="L101">
        <v>-0.52958400000000005</v>
      </c>
      <c r="M101">
        <v>-212.67361099999999</v>
      </c>
      <c r="N101">
        <v>645.49047900000005</v>
      </c>
      <c r="O101">
        <v>259.745721</v>
      </c>
      <c r="Q101" s="75"/>
      <c r="R101" s="75"/>
      <c r="S101" s="75"/>
    </row>
    <row r="102" spans="1:19" hidden="1">
      <c r="A102">
        <v>40528.363569000001</v>
      </c>
      <c r="B102">
        <v>3966577.5556819998</v>
      </c>
      <c r="C102">
        <v>123879.351918</v>
      </c>
      <c r="D102">
        <v>25767.877445999999</v>
      </c>
      <c r="E102">
        <v>30082.792222</v>
      </c>
      <c r="F102">
        <v>4408.2102260000001</v>
      </c>
      <c r="G102">
        <v>39880588.890768997</v>
      </c>
      <c r="H102">
        <v>201540.57724000001</v>
      </c>
      <c r="I102">
        <v>2972694.3085090001</v>
      </c>
      <c r="J102">
        <v>0.59454499999999999</v>
      </c>
      <c r="K102">
        <v>0.63257699999999994</v>
      </c>
      <c r="L102">
        <v>-0.38875999999999999</v>
      </c>
      <c r="M102">
        <v>-191.84027800000001</v>
      </c>
      <c r="N102">
        <v>979.20812999999998</v>
      </c>
      <c r="O102">
        <v>251.45625200000001</v>
      </c>
      <c r="Q102" s="75"/>
      <c r="R102" s="75"/>
      <c r="S102" s="75"/>
    </row>
    <row r="103" spans="1:19" hidden="1">
      <c r="A103">
        <v>22179.531432</v>
      </c>
      <c r="B103">
        <v>160348.34849400001</v>
      </c>
      <c r="C103">
        <v>463962.514646</v>
      </c>
      <c r="D103">
        <v>27070.403343000002</v>
      </c>
      <c r="E103">
        <v>78240.968982999999</v>
      </c>
      <c r="F103">
        <v>5970.6709769999998</v>
      </c>
      <c r="G103">
        <v>4502850.7363670003</v>
      </c>
      <c r="H103">
        <v>203800.383107</v>
      </c>
      <c r="I103">
        <v>502935.74375000002</v>
      </c>
      <c r="J103">
        <v>0.60717200000000005</v>
      </c>
      <c r="K103">
        <v>0.21650700000000001</v>
      </c>
      <c r="L103">
        <v>-0.59716000000000002</v>
      </c>
      <c r="M103">
        <v>-70.3125</v>
      </c>
      <c r="N103">
        <v>94.458572000000004</v>
      </c>
      <c r="O103">
        <v>384.71514000000002</v>
      </c>
      <c r="Q103" s="75"/>
      <c r="R103" s="75"/>
      <c r="S103" s="75"/>
    </row>
    <row r="104" spans="1:19" hidden="1">
      <c r="A104">
        <v>44799.825459</v>
      </c>
      <c r="B104">
        <v>160569.11657400001</v>
      </c>
      <c r="C104">
        <v>2922001.459756</v>
      </c>
      <c r="D104">
        <v>35412.170482000001</v>
      </c>
      <c r="E104">
        <v>41231.260137999998</v>
      </c>
      <c r="F104">
        <v>4286.2466459999996</v>
      </c>
      <c r="G104">
        <v>7269473.1164269997</v>
      </c>
      <c r="H104">
        <v>165542.140962</v>
      </c>
      <c r="I104">
        <v>618752.07179800002</v>
      </c>
      <c r="J104">
        <v>0.61662799999999995</v>
      </c>
      <c r="K104">
        <v>0.27718599999999999</v>
      </c>
      <c r="L104">
        <v>-0.59707600000000005</v>
      </c>
      <c r="M104">
        <v>-99.826389000000006</v>
      </c>
      <c r="N104">
        <v>105.454514</v>
      </c>
      <c r="O104">
        <v>344.31757700000003</v>
      </c>
      <c r="Q104" s="75"/>
      <c r="R104" s="75"/>
      <c r="S104" s="75"/>
    </row>
    <row r="105" spans="1:19" hidden="1">
      <c r="A105">
        <v>40528.363569000001</v>
      </c>
      <c r="B105">
        <v>3966577.5556819998</v>
      </c>
      <c r="C105">
        <v>123879.351918</v>
      </c>
      <c r="D105">
        <v>25767.877445999999</v>
      </c>
      <c r="E105">
        <v>30082.792222</v>
      </c>
      <c r="F105">
        <v>4408.2102260000001</v>
      </c>
      <c r="G105">
        <v>39880588.890768997</v>
      </c>
      <c r="H105">
        <v>190867.59285799999</v>
      </c>
      <c r="I105">
        <v>2972694.3085090001</v>
      </c>
      <c r="J105">
        <v>0.59454499999999999</v>
      </c>
      <c r="K105">
        <v>0.63987000000000005</v>
      </c>
      <c r="L105">
        <v>-0.38875999999999999</v>
      </c>
      <c r="M105">
        <v>-188.368056</v>
      </c>
      <c r="N105">
        <v>984.98400900000001</v>
      </c>
      <c r="O105">
        <v>251.07250999999999</v>
      </c>
      <c r="Q105" s="75"/>
      <c r="R105" s="75"/>
      <c r="S105" s="75"/>
    </row>
    <row r="106" spans="1:19" hidden="1">
      <c r="A106">
        <v>32927.749969999997</v>
      </c>
      <c r="B106">
        <v>1822290.0225730001</v>
      </c>
      <c r="C106">
        <v>2950560.0258300002</v>
      </c>
      <c r="D106">
        <v>25753.93851</v>
      </c>
      <c r="E106">
        <v>30132.010291999999</v>
      </c>
      <c r="F106">
        <v>4411.75137</v>
      </c>
      <c r="G106">
        <v>39813107.921919003</v>
      </c>
      <c r="H106">
        <v>213472.671611</v>
      </c>
      <c r="I106">
        <v>2972244.261897</v>
      </c>
      <c r="J106">
        <v>0.515316</v>
      </c>
      <c r="K106">
        <v>0.63998999999999995</v>
      </c>
      <c r="L106">
        <v>-0.59891899999999998</v>
      </c>
      <c r="M106">
        <v>-191.84027800000001</v>
      </c>
      <c r="N106">
        <v>883.34069799999997</v>
      </c>
      <c r="O106">
        <v>256.03336000000002</v>
      </c>
      <c r="Q106" s="75"/>
      <c r="R106" s="75"/>
      <c r="S106" s="75"/>
    </row>
    <row r="107" spans="1:19" hidden="1">
      <c r="A107">
        <v>31016.004186999999</v>
      </c>
      <c r="B107">
        <v>160016.664147</v>
      </c>
      <c r="C107">
        <v>295375.03633899998</v>
      </c>
      <c r="D107">
        <v>24298.705881000002</v>
      </c>
      <c r="E107">
        <v>30137.809284999999</v>
      </c>
      <c r="F107">
        <v>4051.462411</v>
      </c>
      <c r="G107">
        <v>36382866.753132999</v>
      </c>
      <c r="H107">
        <v>163929.96963100001</v>
      </c>
      <c r="I107">
        <v>607030.130748</v>
      </c>
      <c r="J107">
        <v>0.62537699999999996</v>
      </c>
      <c r="K107">
        <v>0.390955</v>
      </c>
      <c r="L107">
        <v>-0.59832600000000002</v>
      </c>
      <c r="M107">
        <v>-132.8125</v>
      </c>
      <c r="N107">
        <v>270.91973899999999</v>
      </c>
      <c r="O107">
        <v>321.81396100000001</v>
      </c>
      <c r="Q107" s="75"/>
      <c r="R107" s="75"/>
      <c r="S107" s="75"/>
    </row>
    <row r="108" spans="1:19" hidden="1">
      <c r="A108">
        <v>2098.296695</v>
      </c>
      <c r="B108">
        <v>465901.52149499999</v>
      </c>
      <c r="C108">
        <v>2973227.5819540001</v>
      </c>
      <c r="D108">
        <v>25308.011215999999</v>
      </c>
      <c r="E108">
        <v>30045.593678000001</v>
      </c>
      <c r="F108">
        <v>4020.239967</v>
      </c>
      <c r="G108">
        <v>39308097.881506003</v>
      </c>
      <c r="H108">
        <v>240022.851039</v>
      </c>
      <c r="I108">
        <v>2999943.0621509999</v>
      </c>
      <c r="J108">
        <v>0.50212699999999999</v>
      </c>
      <c r="K108">
        <v>0.63986500000000002</v>
      </c>
      <c r="L108">
        <v>-0.52524400000000004</v>
      </c>
      <c r="M108">
        <v>-184.89583300000001</v>
      </c>
      <c r="N108">
        <v>766.364014</v>
      </c>
      <c r="O108">
        <v>258.34184800000003</v>
      </c>
      <c r="Q108" s="75"/>
      <c r="R108" s="75"/>
      <c r="S108" s="75"/>
    </row>
    <row r="109" spans="1:19" hidden="1">
      <c r="A109">
        <v>31016.004186999999</v>
      </c>
      <c r="B109">
        <v>160037.24667200001</v>
      </c>
      <c r="C109">
        <v>295375.03633899998</v>
      </c>
      <c r="D109">
        <v>24298.705881000002</v>
      </c>
      <c r="E109">
        <v>30137.809284999999</v>
      </c>
      <c r="F109">
        <v>4051.462411</v>
      </c>
      <c r="G109">
        <v>37936128.866356999</v>
      </c>
      <c r="H109">
        <v>163929.96963100001</v>
      </c>
      <c r="I109">
        <v>607030.130748</v>
      </c>
      <c r="J109">
        <v>0.62537699999999996</v>
      </c>
      <c r="K109">
        <v>0.390955</v>
      </c>
      <c r="L109">
        <v>-0.59832600000000002</v>
      </c>
      <c r="M109">
        <v>-132.8125</v>
      </c>
      <c r="N109">
        <v>270.929169</v>
      </c>
      <c r="O109">
        <v>321.75302099999999</v>
      </c>
      <c r="Q109" s="75"/>
      <c r="R109" s="75"/>
      <c r="S109" s="75"/>
    </row>
    <row r="110" spans="1:19" hidden="1">
      <c r="A110">
        <v>24353.502079999998</v>
      </c>
      <c r="B110">
        <v>160134.39352300001</v>
      </c>
      <c r="C110">
        <v>408445.11972999998</v>
      </c>
      <c r="D110">
        <v>26498.171351000001</v>
      </c>
      <c r="E110">
        <v>31989.070522999999</v>
      </c>
      <c r="F110">
        <v>4104.6489009999996</v>
      </c>
      <c r="G110">
        <v>39736486.574550003</v>
      </c>
      <c r="H110">
        <v>231648.853757</v>
      </c>
      <c r="I110">
        <v>2998920.6480950001</v>
      </c>
      <c r="J110">
        <v>0.385625</v>
      </c>
      <c r="K110">
        <v>0.62048199999999998</v>
      </c>
      <c r="L110">
        <v>-0.434529</v>
      </c>
      <c r="M110">
        <v>-179.6875</v>
      </c>
      <c r="N110">
        <v>430.701843</v>
      </c>
      <c r="O110">
        <v>267.16017799999997</v>
      </c>
      <c r="Q110" s="75"/>
      <c r="R110" s="75"/>
      <c r="S110" s="75"/>
    </row>
    <row r="111" spans="1:19" hidden="1">
      <c r="A111">
        <v>24824.038323000001</v>
      </c>
      <c r="B111">
        <v>160404.44647</v>
      </c>
      <c r="C111">
        <v>468053.573301</v>
      </c>
      <c r="D111">
        <v>25498.35787</v>
      </c>
      <c r="E111">
        <v>32190.627034000001</v>
      </c>
      <c r="F111">
        <v>4044.451282</v>
      </c>
      <c r="G111">
        <v>4125357.5632529999</v>
      </c>
      <c r="H111">
        <v>161815.307099</v>
      </c>
      <c r="I111">
        <v>482208.66385200003</v>
      </c>
      <c r="J111">
        <v>0.56223199999999995</v>
      </c>
      <c r="K111">
        <v>0.239676</v>
      </c>
      <c r="L111">
        <v>-0.59101999999999999</v>
      </c>
      <c r="M111">
        <v>-73.784722000000002</v>
      </c>
      <c r="N111">
        <v>97.159346999999997</v>
      </c>
      <c r="O111">
        <v>361.31969099999998</v>
      </c>
      <c r="Q111" s="75"/>
      <c r="R111" s="75"/>
      <c r="S111" s="75"/>
    </row>
    <row r="112" spans="1:19">
      <c r="A112" s="75">
        <v>30682.992888000001</v>
      </c>
      <c r="B112" s="75">
        <v>160225.93215499999</v>
      </c>
      <c r="C112" s="75">
        <v>131817.805636</v>
      </c>
      <c r="D112" s="75">
        <v>24277.890054</v>
      </c>
      <c r="E112" s="75">
        <v>30390.308269000001</v>
      </c>
      <c r="F112" s="75">
        <v>4510.413826</v>
      </c>
      <c r="G112" s="75">
        <v>39727119.993058003</v>
      </c>
      <c r="H112" s="75">
        <v>52315.705202999998</v>
      </c>
      <c r="I112" s="75">
        <v>575123.88047099998</v>
      </c>
      <c r="J112" s="75">
        <v>0.27080700000000002</v>
      </c>
      <c r="K112" s="75">
        <v>0.63997199999999999</v>
      </c>
      <c r="L112" s="75">
        <v>-0.17164399999999999</v>
      </c>
      <c r="M112" s="75">
        <v>-110.243056</v>
      </c>
      <c r="N112" s="75">
        <v>276.401794</v>
      </c>
      <c r="O112" s="75">
        <v>296.14740499999999</v>
      </c>
      <c r="Q112" s="75">
        <f>final_solutions[[#This Row],[Obj1]]*(-1)*3.6</f>
        <v>396.87500160000002</v>
      </c>
      <c r="R112" s="75">
        <f>final_solutions[[#This Row],[Obj2]]</f>
        <v>276.401794</v>
      </c>
      <c r="S112" s="75">
        <f>final_solutions[[#This Row],[Obj3]]/200</f>
        <v>1.480737025</v>
      </c>
    </row>
    <row r="113" spans="1:19">
      <c r="A113" s="75">
        <v>13107.635582000001</v>
      </c>
      <c r="B113" s="75">
        <v>160337.34761</v>
      </c>
      <c r="C113" s="75">
        <v>180744.553308</v>
      </c>
      <c r="D113" s="75">
        <v>24623.302191999999</v>
      </c>
      <c r="E113" s="75">
        <v>33180.614153000002</v>
      </c>
      <c r="F113" s="75">
        <v>5981.7249490000004</v>
      </c>
      <c r="G113" s="75">
        <v>30158129.080373999</v>
      </c>
      <c r="H113" s="75">
        <v>59800.341486999998</v>
      </c>
      <c r="I113" s="75">
        <v>869589.901358</v>
      </c>
      <c r="J113" s="75">
        <v>0.25894099999999998</v>
      </c>
      <c r="K113" s="75">
        <v>0.61550300000000002</v>
      </c>
      <c r="L113" s="75">
        <v>-0.181334</v>
      </c>
      <c r="M113" s="75">
        <v>-141.493056</v>
      </c>
      <c r="N113" s="75">
        <v>281.20169099999998</v>
      </c>
      <c r="O113" s="75">
        <v>299.20761700000003</v>
      </c>
      <c r="Q113" s="75">
        <f>final_solutions[[#This Row],[Obj1]]*(-1)*3.6</f>
        <v>509.37500160000002</v>
      </c>
      <c r="R113" s="75">
        <f>final_solutions[[#This Row],[Obj2]]</f>
        <v>281.20169099999998</v>
      </c>
      <c r="S113" s="75">
        <f>final_solutions[[#This Row],[Obj3]]/200</f>
        <v>1.4960380850000001</v>
      </c>
    </row>
    <row r="114" spans="1:19" hidden="1">
      <c r="A114">
        <v>8095.3999979999999</v>
      </c>
      <c r="B114">
        <v>161795.096097</v>
      </c>
      <c r="C114">
        <v>192275.266145</v>
      </c>
      <c r="D114">
        <v>24423.282286000001</v>
      </c>
      <c r="E114">
        <v>32501.412935</v>
      </c>
      <c r="F114">
        <v>4132.2786749999996</v>
      </c>
      <c r="G114">
        <v>6984127.7808079999</v>
      </c>
      <c r="H114">
        <v>207648.92812999999</v>
      </c>
      <c r="I114">
        <v>483094.10849700001</v>
      </c>
      <c r="J114">
        <v>0.57306699999999999</v>
      </c>
      <c r="K114">
        <v>0.25803500000000001</v>
      </c>
      <c r="L114">
        <v>-0.59626199999999996</v>
      </c>
      <c r="M114">
        <v>-91.145832999999996</v>
      </c>
      <c r="N114">
        <v>99.351096999999996</v>
      </c>
      <c r="O114">
        <v>355.06757199999998</v>
      </c>
      <c r="Q114" s="75">
        <f>final_solutions[[#This Row],[Obj1]]*(-1)*3.6</f>
        <v>328.12499880000001</v>
      </c>
      <c r="R114" s="75">
        <f>final_solutions[[#This Row],[Obj2]]</f>
        <v>99.351096999999996</v>
      </c>
      <c r="S114" s="75">
        <f>final_solutions[[#This Row],[Obj3]]/200</f>
        <v>1.7753378599999998</v>
      </c>
    </row>
    <row r="115" spans="1:19" hidden="1">
      <c r="A115">
        <v>27828.126447999999</v>
      </c>
      <c r="B115">
        <v>2086580.8257919999</v>
      </c>
      <c r="C115">
        <v>2917855.1938260002</v>
      </c>
      <c r="D115">
        <v>25735.328247000001</v>
      </c>
      <c r="E115">
        <v>30092.026967000002</v>
      </c>
      <c r="F115">
        <v>4411.75137</v>
      </c>
      <c r="G115">
        <v>39813107.921919003</v>
      </c>
      <c r="H115">
        <v>211245.64783900001</v>
      </c>
      <c r="I115">
        <v>2990145.5504589998</v>
      </c>
      <c r="J115">
        <v>0.51541499999999996</v>
      </c>
      <c r="K115">
        <v>0.63821399999999995</v>
      </c>
      <c r="L115">
        <v>-0.59891899999999998</v>
      </c>
      <c r="M115">
        <v>-209.20138900000001</v>
      </c>
      <c r="N115">
        <v>894.65423599999997</v>
      </c>
      <c r="O115">
        <v>255.61557099999999</v>
      </c>
      <c r="Q115" s="75">
        <f>final_solutions[[#This Row],[Obj1]]*(-1)*3.6</f>
        <v>753.12500040000009</v>
      </c>
      <c r="R115" s="75">
        <f>final_solutions[[#This Row],[Obj2]]</f>
        <v>894.65423599999997</v>
      </c>
      <c r="S115" s="75">
        <f>final_solutions[[#This Row],[Obj3]]/200</f>
        <v>1.278077855</v>
      </c>
    </row>
    <row r="116" spans="1:19" hidden="1">
      <c r="A116">
        <v>48077.425009999999</v>
      </c>
      <c r="B116">
        <v>160427.96234999999</v>
      </c>
      <c r="C116">
        <v>128689.77097500001</v>
      </c>
      <c r="D116">
        <v>24635.871144000001</v>
      </c>
      <c r="E116">
        <v>31929.786928000001</v>
      </c>
      <c r="F116">
        <v>4099.7176049999998</v>
      </c>
      <c r="G116">
        <v>39738245.296572</v>
      </c>
      <c r="H116">
        <v>238641.64366599999</v>
      </c>
      <c r="I116">
        <v>2998733.0047189998</v>
      </c>
      <c r="J116">
        <v>0.438948</v>
      </c>
      <c r="K116">
        <v>0.62138000000000004</v>
      </c>
      <c r="L116">
        <v>-0.45408100000000001</v>
      </c>
      <c r="M116">
        <v>-216.14583300000001</v>
      </c>
      <c r="N116">
        <v>527.95294200000001</v>
      </c>
      <c r="O116">
        <v>263.70325800000001</v>
      </c>
      <c r="Q116" s="75">
        <f>final_solutions[[#This Row],[Obj1]]*(-1)*3.6</f>
        <v>778.12499880000007</v>
      </c>
      <c r="R116" s="75">
        <f>final_solutions[[#This Row],[Obj2]]</f>
        <v>527.95294200000001</v>
      </c>
      <c r="S116" s="75">
        <f>final_solutions[[#This Row],[Obj3]]/200</f>
        <v>1.31851629</v>
      </c>
    </row>
    <row r="117" spans="1:19" hidden="1">
      <c r="A117">
        <v>29198.460889000002</v>
      </c>
      <c r="B117">
        <v>1781974.891515</v>
      </c>
      <c r="C117">
        <v>168020.82550499999</v>
      </c>
      <c r="D117">
        <v>32300.618630000001</v>
      </c>
      <c r="E117">
        <v>30964.877014999998</v>
      </c>
      <c r="F117">
        <v>4145.3081030000003</v>
      </c>
      <c r="G117">
        <v>38590081.148796</v>
      </c>
      <c r="H117">
        <v>155154.807138</v>
      </c>
      <c r="I117">
        <v>2979098.2981989998</v>
      </c>
      <c r="J117">
        <v>0.59417600000000004</v>
      </c>
      <c r="K117">
        <v>0.63967600000000002</v>
      </c>
      <c r="L117">
        <v>-0.577013</v>
      </c>
      <c r="M117">
        <v>-245.65972199999999</v>
      </c>
      <c r="N117">
        <v>972.84887700000002</v>
      </c>
      <c r="O117">
        <v>256.60519499999998</v>
      </c>
      <c r="Q117" s="75">
        <f>final_solutions[[#This Row],[Obj1]]*(-1)*3.6</f>
        <v>884.37499919999993</v>
      </c>
      <c r="R117" s="75">
        <f>final_solutions[[#This Row],[Obj2]]</f>
        <v>972.84887700000002</v>
      </c>
      <c r="S117" s="75">
        <f>final_solutions[[#This Row],[Obj3]]/200</f>
        <v>1.2830259749999999</v>
      </c>
    </row>
    <row r="118" spans="1:19" hidden="1">
      <c r="A118">
        <v>47644.926392000001</v>
      </c>
      <c r="B118">
        <v>414099.067622</v>
      </c>
      <c r="C118">
        <v>2909989.5602099998</v>
      </c>
      <c r="D118">
        <v>24234.003596999999</v>
      </c>
      <c r="E118">
        <v>30082.942342999999</v>
      </c>
      <c r="F118">
        <v>4020.239967</v>
      </c>
      <c r="G118">
        <v>39311490.120428003</v>
      </c>
      <c r="H118">
        <v>246609.20675000001</v>
      </c>
      <c r="I118">
        <v>2999293.303754</v>
      </c>
      <c r="J118">
        <v>0.50212699999999999</v>
      </c>
      <c r="K118">
        <v>0.63986500000000002</v>
      </c>
      <c r="L118">
        <v>-0.52222199999999996</v>
      </c>
      <c r="M118">
        <v>-181.42361099999999</v>
      </c>
      <c r="N118">
        <v>754.65332000000001</v>
      </c>
      <c r="O118">
        <v>258.274002</v>
      </c>
      <c r="Q118" s="75">
        <f>final_solutions[[#This Row],[Obj1]]*(-1)*3.6</f>
        <v>653.12499960000002</v>
      </c>
      <c r="R118" s="75">
        <f>final_solutions[[#This Row],[Obj2]]</f>
        <v>754.65332000000001</v>
      </c>
      <c r="S118" s="75">
        <f>final_solutions[[#This Row],[Obj3]]/200</f>
        <v>1.2913700100000001</v>
      </c>
    </row>
    <row r="119" spans="1:19" hidden="1">
      <c r="A119">
        <v>45571.337455000001</v>
      </c>
      <c r="B119">
        <v>175977.60571999999</v>
      </c>
      <c r="C119">
        <v>2212223.2908899998</v>
      </c>
      <c r="D119">
        <v>24751.956569999998</v>
      </c>
      <c r="E119">
        <v>30252.125558</v>
      </c>
      <c r="F119">
        <v>4014.4996139999998</v>
      </c>
      <c r="G119">
        <v>5171266.4629269997</v>
      </c>
      <c r="H119">
        <v>21203.863167</v>
      </c>
      <c r="I119">
        <v>481085.27590000001</v>
      </c>
      <c r="J119">
        <v>0.63207999999999998</v>
      </c>
      <c r="K119">
        <v>0.37052000000000002</v>
      </c>
      <c r="L119">
        <v>-0.596252</v>
      </c>
      <c r="M119">
        <v>-85.9375</v>
      </c>
      <c r="N119">
        <v>168.578003</v>
      </c>
      <c r="O119">
        <v>294.161494</v>
      </c>
      <c r="Q119" s="75">
        <f>final_solutions[[#This Row],[Obj1]]*(-1)*3.6</f>
        <v>309.375</v>
      </c>
      <c r="R119" s="75">
        <f>final_solutions[[#This Row],[Obj2]]</f>
        <v>168.578003</v>
      </c>
      <c r="S119" s="75">
        <f>final_solutions[[#This Row],[Obj3]]/200</f>
        <v>1.47080747</v>
      </c>
    </row>
    <row r="120" spans="1:19" hidden="1">
      <c r="A120">
        <v>46285.088874000001</v>
      </c>
      <c r="B120">
        <v>164802.39697599999</v>
      </c>
      <c r="C120">
        <v>2785267.4737550002</v>
      </c>
      <c r="D120">
        <v>24187.914655</v>
      </c>
      <c r="E120">
        <v>30484.325923</v>
      </c>
      <c r="F120">
        <v>4017.04045</v>
      </c>
      <c r="G120">
        <v>38070641.446059003</v>
      </c>
      <c r="H120">
        <v>137908.69906799999</v>
      </c>
      <c r="I120">
        <v>2998180.0397740002</v>
      </c>
      <c r="J120">
        <v>0.48844500000000002</v>
      </c>
      <c r="K120">
        <v>0.63638700000000004</v>
      </c>
      <c r="L120">
        <v>-0.51028499999999999</v>
      </c>
      <c r="M120">
        <v>-249.131944</v>
      </c>
      <c r="N120">
        <v>638.09484899999995</v>
      </c>
      <c r="O120">
        <v>263.12069100000002</v>
      </c>
      <c r="Q120" s="75">
        <f>final_solutions[[#This Row],[Obj1]]*(-1)*3.6</f>
        <v>896.87499839999998</v>
      </c>
      <c r="R120" s="75">
        <f>final_solutions[[#This Row],[Obj2]]</f>
        <v>638.09484899999995</v>
      </c>
      <c r="S120" s="75">
        <f>final_solutions[[#This Row],[Obj3]]/200</f>
        <v>1.3156034550000002</v>
      </c>
    </row>
    <row r="121" spans="1:19" hidden="1">
      <c r="A121">
        <v>24812.052520000001</v>
      </c>
      <c r="B121">
        <v>228359.286945</v>
      </c>
      <c r="C121">
        <v>2973227.5819540001</v>
      </c>
      <c r="D121">
        <v>25329.052207000001</v>
      </c>
      <c r="E121">
        <v>30041.350435</v>
      </c>
      <c r="F121">
        <v>4013.1932019999999</v>
      </c>
      <c r="G121">
        <v>39551410.966573</v>
      </c>
      <c r="H121">
        <v>242538.984879</v>
      </c>
      <c r="I121">
        <v>2993503.417227</v>
      </c>
      <c r="J121">
        <v>0.50361699999999998</v>
      </c>
      <c r="K121">
        <v>0.63986500000000002</v>
      </c>
      <c r="L121">
        <v>-0.52524400000000004</v>
      </c>
      <c r="M121">
        <v>-186.631944</v>
      </c>
      <c r="N121">
        <v>699.64959699999997</v>
      </c>
      <c r="O121">
        <v>258.825244</v>
      </c>
      <c r="Q121" s="75">
        <f>final_solutions[[#This Row],[Obj1]]*(-1)*3.6</f>
        <v>671.87499839999998</v>
      </c>
      <c r="R121" s="75">
        <f>final_solutions[[#This Row],[Obj2]]</f>
        <v>699.64959699999997</v>
      </c>
      <c r="S121" s="75">
        <f>final_solutions[[#This Row],[Obj3]]/200</f>
        <v>1.2941262199999999</v>
      </c>
    </row>
    <row r="122" spans="1:19">
      <c r="A122" s="75">
        <v>32161.908867999999</v>
      </c>
      <c r="B122" s="75">
        <v>160417.20635299999</v>
      </c>
      <c r="C122" s="75">
        <v>179433.02413999999</v>
      </c>
      <c r="D122" s="75">
        <v>24421.548257999999</v>
      </c>
      <c r="E122" s="75">
        <v>30847.727663999998</v>
      </c>
      <c r="F122" s="75">
        <v>6014.168154</v>
      </c>
      <c r="G122" s="75">
        <v>30158129.080373999</v>
      </c>
      <c r="H122" s="75">
        <v>61805.437287000001</v>
      </c>
      <c r="I122" s="75">
        <v>967881.91958300001</v>
      </c>
      <c r="J122" s="75">
        <v>0.25894099999999998</v>
      </c>
      <c r="K122" s="75">
        <v>0.61550300000000002</v>
      </c>
      <c r="L122" s="75">
        <v>-0.17539399999999999</v>
      </c>
      <c r="M122" s="75">
        <v>-151.90972199999999</v>
      </c>
      <c r="N122" s="75">
        <v>282.42938199999998</v>
      </c>
      <c r="O122" s="75">
        <v>298.48163</v>
      </c>
      <c r="Q122" s="75">
        <f>final_solutions[[#This Row],[Obj1]]*(-1)*3.6</f>
        <v>546.87499919999993</v>
      </c>
      <c r="R122" s="75">
        <f>final_solutions[[#This Row],[Obj2]]</f>
        <v>282.42938199999998</v>
      </c>
      <c r="S122" s="75">
        <f>final_solutions[[#This Row],[Obj3]]/200</f>
        <v>1.4924081499999999</v>
      </c>
    </row>
    <row r="123" spans="1:19">
      <c r="A123" s="75">
        <v>46272.608253999999</v>
      </c>
      <c r="B123" s="75">
        <v>160617.63639699999</v>
      </c>
      <c r="C123" s="75">
        <v>284371.855499</v>
      </c>
      <c r="D123" s="75">
        <v>24120.572883000001</v>
      </c>
      <c r="E123" s="75">
        <v>30973.548180000002</v>
      </c>
      <c r="F123" s="75">
        <v>4394.8769169999996</v>
      </c>
      <c r="G123" s="75">
        <v>31280295.748452</v>
      </c>
      <c r="H123" s="75">
        <v>22091.638907</v>
      </c>
      <c r="I123" s="75">
        <v>558700.66069399996</v>
      </c>
      <c r="J123" s="75">
        <v>0.27080700000000002</v>
      </c>
      <c r="K123" s="75">
        <v>0.59236900000000003</v>
      </c>
      <c r="L123" s="75">
        <v>-0.18295800000000001</v>
      </c>
      <c r="M123" s="75">
        <v>-110.243056</v>
      </c>
      <c r="N123" s="75">
        <v>285.94418300000001</v>
      </c>
      <c r="O123" s="75">
        <v>283.50355100000002</v>
      </c>
      <c r="Q123" s="75">
        <f>final_solutions[[#This Row],[Obj1]]*(-1)*3.6</f>
        <v>396.87500160000002</v>
      </c>
      <c r="R123" s="75">
        <f>final_solutions[[#This Row],[Obj2]]</f>
        <v>285.94418300000001</v>
      </c>
      <c r="S123" s="75">
        <f>final_solutions[[#This Row],[Obj3]]/200</f>
        <v>1.417517755</v>
      </c>
    </row>
    <row r="124" spans="1:19" hidden="1">
      <c r="A124">
        <v>30438.437587</v>
      </c>
      <c r="B124">
        <v>168886.70934</v>
      </c>
      <c r="C124">
        <v>2757838.8730000001</v>
      </c>
      <c r="D124">
        <v>24194.988987000001</v>
      </c>
      <c r="E124">
        <v>30134.336877999998</v>
      </c>
      <c r="F124">
        <v>4189.2111210000003</v>
      </c>
      <c r="G124">
        <v>34837304.693273</v>
      </c>
      <c r="H124">
        <v>247240.00131600001</v>
      </c>
      <c r="I124">
        <v>2972263.366713</v>
      </c>
      <c r="J124">
        <v>0.46349600000000002</v>
      </c>
      <c r="K124">
        <v>0.63944100000000004</v>
      </c>
      <c r="L124">
        <v>-0.534887</v>
      </c>
      <c r="M124">
        <v>-172.743056</v>
      </c>
      <c r="N124">
        <v>563.09997599999997</v>
      </c>
      <c r="O124">
        <v>260.86498599999999</v>
      </c>
      <c r="Q124" s="75">
        <f>final_solutions[[#This Row],[Obj1]]*(-1)*3.6</f>
        <v>621.87500160000002</v>
      </c>
      <c r="R124" s="75">
        <f>final_solutions[[#This Row],[Obj2]]</f>
        <v>563.09997599999997</v>
      </c>
      <c r="S124" s="75">
        <f>final_solutions[[#This Row],[Obj3]]/200</f>
        <v>1.3043249299999999</v>
      </c>
    </row>
    <row r="125" spans="1:19">
      <c r="A125" s="75">
        <v>13107.635582000001</v>
      </c>
      <c r="B125" s="75">
        <v>160194.96204400001</v>
      </c>
      <c r="C125" s="75">
        <v>164724.129628</v>
      </c>
      <c r="D125" s="75">
        <v>24607.526298000001</v>
      </c>
      <c r="E125" s="75">
        <v>33179.534754</v>
      </c>
      <c r="F125" s="75">
        <v>4059.3243630000002</v>
      </c>
      <c r="G125" s="75">
        <v>39126423.593253002</v>
      </c>
      <c r="H125" s="75">
        <v>59800.341486999998</v>
      </c>
      <c r="I125" s="75">
        <v>869589.901358</v>
      </c>
      <c r="J125" s="75">
        <v>0.27894200000000002</v>
      </c>
      <c r="K125" s="75">
        <v>0.61550300000000002</v>
      </c>
      <c r="L125" s="75">
        <v>-0.18593199999999999</v>
      </c>
      <c r="M125" s="75">
        <v>-143.22916699999999</v>
      </c>
      <c r="N125" s="75">
        <v>287.64953600000001</v>
      </c>
      <c r="O125" s="75">
        <v>296.36219999999997</v>
      </c>
      <c r="Q125" s="75">
        <f>final_solutions[[#This Row],[Obj1]]*(-1)*3.6</f>
        <v>515.62500119999993</v>
      </c>
      <c r="R125" s="75">
        <f>final_solutions[[#This Row],[Obj2]]</f>
        <v>287.64953600000001</v>
      </c>
      <c r="S125" s="75">
        <f>final_solutions[[#This Row],[Obj3]]/200</f>
        <v>1.4818109999999998</v>
      </c>
    </row>
    <row r="126" spans="1:19" hidden="1">
      <c r="A126">
        <v>46914.923695999998</v>
      </c>
      <c r="B126">
        <v>160364.48991500001</v>
      </c>
      <c r="C126">
        <v>1530428.702416</v>
      </c>
      <c r="D126">
        <v>34535.472468</v>
      </c>
      <c r="E126">
        <v>30205.047637</v>
      </c>
      <c r="F126">
        <v>4026.961734</v>
      </c>
      <c r="G126">
        <v>3037069.0548800002</v>
      </c>
      <c r="H126">
        <v>12664.575108000001</v>
      </c>
      <c r="I126">
        <v>745400.73137299996</v>
      </c>
      <c r="J126">
        <v>0.607904</v>
      </c>
      <c r="K126">
        <v>0.338675</v>
      </c>
      <c r="L126">
        <v>-0.59904900000000005</v>
      </c>
      <c r="M126">
        <v>-85.9375</v>
      </c>
      <c r="N126">
        <v>150.05038500000001</v>
      </c>
      <c r="O126">
        <v>313.89938899999999</v>
      </c>
      <c r="Q126" s="75">
        <f>final_solutions[[#This Row],[Obj1]]*(-1)*3.6</f>
        <v>309.375</v>
      </c>
      <c r="R126" s="75">
        <f>final_solutions[[#This Row],[Obj2]]</f>
        <v>150.05038500000001</v>
      </c>
      <c r="S126" s="75">
        <f>final_solutions[[#This Row],[Obj3]]/200</f>
        <v>1.569496945</v>
      </c>
    </row>
    <row r="127" spans="1:19" hidden="1">
      <c r="A127">
        <v>12070.946617</v>
      </c>
      <c r="B127">
        <v>160088.41394200001</v>
      </c>
      <c r="C127">
        <v>433319.287335</v>
      </c>
      <c r="D127">
        <v>25315.972345999999</v>
      </c>
      <c r="E127">
        <v>45241.568941999998</v>
      </c>
      <c r="F127">
        <v>4053.3870860000002</v>
      </c>
      <c r="G127">
        <v>5077739.2435670001</v>
      </c>
      <c r="H127">
        <v>159025.577498</v>
      </c>
      <c r="I127">
        <v>481695.77071499999</v>
      </c>
      <c r="J127">
        <v>0.55624600000000002</v>
      </c>
      <c r="K127">
        <v>0.23585500000000001</v>
      </c>
      <c r="L127">
        <v>-0.59903300000000004</v>
      </c>
      <c r="M127">
        <v>-70.3125</v>
      </c>
      <c r="N127">
        <v>96.736098999999996</v>
      </c>
      <c r="O127">
        <v>358.15103599999998</v>
      </c>
      <c r="Q127" s="75">
        <f>final_solutions[[#This Row],[Obj1]]*(-1)*3.6</f>
        <v>253.125</v>
      </c>
      <c r="R127" s="75">
        <f>final_solutions[[#This Row],[Obj2]]</f>
        <v>96.736098999999996</v>
      </c>
      <c r="S127" s="75">
        <f>final_solutions[[#This Row],[Obj3]]/200</f>
        <v>1.7907551799999999</v>
      </c>
    </row>
    <row r="128" spans="1:19">
      <c r="A128" s="75">
        <v>13107.635582000001</v>
      </c>
      <c r="B128" s="75">
        <v>160335.40668799999</v>
      </c>
      <c r="C128" s="75">
        <v>180744.553308</v>
      </c>
      <c r="D128" s="75">
        <v>24623.302191999999</v>
      </c>
      <c r="E128" s="75">
        <v>33226.464839</v>
      </c>
      <c r="F128" s="75">
        <v>5999.8667420000002</v>
      </c>
      <c r="G128" s="75">
        <v>29908550.828784999</v>
      </c>
      <c r="H128" s="75">
        <v>59800.341486999998</v>
      </c>
      <c r="I128" s="75">
        <v>1538886.3696389999</v>
      </c>
      <c r="J128" s="75">
        <v>0.25894099999999998</v>
      </c>
      <c r="K128" s="75">
        <v>0.63934000000000002</v>
      </c>
      <c r="L128" s="75">
        <v>-0.181334</v>
      </c>
      <c r="M128" s="75">
        <v>-233.506944</v>
      </c>
      <c r="N128" s="75">
        <v>297.67111199999999</v>
      </c>
      <c r="O128" s="75">
        <v>293.83718800000003</v>
      </c>
      <c r="Q128" s="75">
        <f>final_solutions[[#This Row],[Obj1]]*(-1)*3.6</f>
        <v>840.62499839999998</v>
      </c>
      <c r="R128" s="75">
        <f>final_solutions[[#This Row],[Obj2]]</f>
        <v>297.67111199999999</v>
      </c>
      <c r="S128" s="75">
        <f>final_solutions[[#This Row],[Obj3]]/200</f>
        <v>1.46918594</v>
      </c>
    </row>
    <row r="129" spans="1:19" hidden="1">
      <c r="A129">
        <v>45123.123208999998</v>
      </c>
      <c r="B129">
        <v>1841546.7418569999</v>
      </c>
      <c r="C129">
        <v>2962210.9450119999</v>
      </c>
      <c r="D129">
        <v>25727.408502999999</v>
      </c>
      <c r="E129">
        <v>30107.134004</v>
      </c>
      <c r="F129">
        <v>4437.834742</v>
      </c>
      <c r="G129">
        <v>38261057.573866002</v>
      </c>
      <c r="H129">
        <v>245893.55315600001</v>
      </c>
      <c r="I129">
        <v>2980916.7240809998</v>
      </c>
      <c r="J129">
        <v>0.45439000000000002</v>
      </c>
      <c r="K129">
        <v>0.63948199999999999</v>
      </c>
      <c r="L129">
        <v>-0.596669</v>
      </c>
      <c r="M129">
        <v>-164.0625</v>
      </c>
      <c r="N129">
        <v>836.60797100000002</v>
      </c>
      <c r="O129">
        <v>257.418927</v>
      </c>
      <c r="Q129" s="75">
        <f>final_solutions[[#This Row],[Obj1]]*(-1)*3.6</f>
        <v>590.625</v>
      </c>
      <c r="R129" s="75">
        <f>final_solutions[[#This Row],[Obj2]]</f>
        <v>836.60797100000002</v>
      </c>
      <c r="S129" s="75">
        <f>final_solutions[[#This Row],[Obj3]]/200</f>
        <v>1.2870946349999999</v>
      </c>
    </row>
    <row r="130" spans="1:19">
      <c r="A130" s="75">
        <v>47517.284346</v>
      </c>
      <c r="B130" s="75">
        <v>160176.94783399999</v>
      </c>
      <c r="C130" s="75">
        <v>297895.40035200003</v>
      </c>
      <c r="D130" s="75">
        <v>24453.719082</v>
      </c>
      <c r="E130" s="75">
        <v>31549.774869000001</v>
      </c>
      <c r="F130" s="75">
        <v>4112.8476849999997</v>
      </c>
      <c r="G130" s="75">
        <v>38806257.750908002</v>
      </c>
      <c r="H130" s="75">
        <v>120386.298758</v>
      </c>
      <c r="I130" s="75">
        <v>1526572.952577</v>
      </c>
      <c r="J130" s="75">
        <v>0.28775600000000001</v>
      </c>
      <c r="K130" s="75">
        <v>0.63968499999999995</v>
      </c>
      <c r="L130" s="75">
        <v>-0.20525599999999999</v>
      </c>
      <c r="M130" s="75">
        <v>-155.381944</v>
      </c>
      <c r="N130" s="75">
        <v>304.715576</v>
      </c>
      <c r="O130" s="75">
        <v>288.76505500000002</v>
      </c>
      <c r="Q130" s="75">
        <f>final_solutions[[#This Row],[Obj1]]*(-1)*3.6</f>
        <v>559.37499839999998</v>
      </c>
      <c r="R130" s="75">
        <f>final_solutions[[#This Row],[Obj2]]</f>
        <v>304.715576</v>
      </c>
      <c r="S130" s="75">
        <f>final_solutions[[#This Row],[Obj3]]/200</f>
        <v>1.443825275</v>
      </c>
    </row>
    <row r="131" spans="1:19">
      <c r="A131" s="75">
        <v>47517.284346</v>
      </c>
      <c r="B131" s="75">
        <v>160065.37502899999</v>
      </c>
      <c r="C131" s="75">
        <v>297895.40035200003</v>
      </c>
      <c r="D131" s="75">
        <v>24453.719082</v>
      </c>
      <c r="E131" s="75">
        <v>31640.803217000001</v>
      </c>
      <c r="F131" s="75">
        <v>4112.8476849999997</v>
      </c>
      <c r="G131" s="75">
        <v>38806257.750908002</v>
      </c>
      <c r="H131" s="75">
        <v>57695.769706999999</v>
      </c>
      <c r="I131" s="75">
        <v>1526572.952577</v>
      </c>
      <c r="J131" s="75">
        <v>0.28775600000000001</v>
      </c>
      <c r="K131" s="75">
        <v>0.639907</v>
      </c>
      <c r="L131" s="75">
        <v>-0.18513399999999999</v>
      </c>
      <c r="M131" s="75">
        <v>-242.1875</v>
      </c>
      <c r="N131" s="75">
        <v>305.03646900000001</v>
      </c>
      <c r="O131" s="75">
        <v>289.51494000000002</v>
      </c>
      <c r="Q131" s="75">
        <f>final_solutions[[#This Row],[Obj1]]*(-1)*3.6</f>
        <v>871.875</v>
      </c>
      <c r="R131" s="75">
        <f>final_solutions[[#This Row],[Obj2]]</f>
        <v>305.03646900000001</v>
      </c>
      <c r="S131" s="75">
        <f>final_solutions[[#This Row],[Obj3]]/200</f>
        <v>1.4475747000000001</v>
      </c>
    </row>
    <row r="132" spans="1:19">
      <c r="A132" s="75">
        <v>29615.032010999999</v>
      </c>
      <c r="B132" s="75">
        <v>160102.39726</v>
      </c>
      <c r="C132" s="75">
        <v>188687.220115</v>
      </c>
      <c r="D132" s="75">
        <v>24524.993963000001</v>
      </c>
      <c r="E132" s="75">
        <v>30973.548180000002</v>
      </c>
      <c r="F132" s="75">
        <v>4394.8769169999996</v>
      </c>
      <c r="G132" s="75">
        <v>39742451.109802</v>
      </c>
      <c r="H132" s="75">
        <v>170434.69806299999</v>
      </c>
      <c r="I132" s="75">
        <v>2376862.6588770002</v>
      </c>
      <c r="J132" s="75">
        <v>0.27080700000000002</v>
      </c>
      <c r="K132" s="75">
        <v>0.63987899999999998</v>
      </c>
      <c r="L132" s="75">
        <v>-0.16842199999999999</v>
      </c>
      <c r="M132" s="75">
        <v>-153.64583300000001</v>
      </c>
      <c r="N132" s="75">
        <v>309.248535</v>
      </c>
      <c r="O132" s="75">
        <v>280.643958</v>
      </c>
      <c r="Q132" s="75">
        <f>final_solutions[[#This Row],[Obj1]]*(-1)*3.6</f>
        <v>553.12499880000007</v>
      </c>
      <c r="R132" s="75">
        <f>final_solutions[[#This Row],[Obj2]]</f>
        <v>309.248535</v>
      </c>
      <c r="S132" s="75">
        <f>final_solutions[[#This Row],[Obj3]]/200</f>
        <v>1.4032197900000001</v>
      </c>
    </row>
    <row r="133" spans="1:19" hidden="1">
      <c r="A133">
        <v>23689.797097999999</v>
      </c>
      <c r="B133">
        <v>160268.060528</v>
      </c>
      <c r="C133">
        <v>440457.765999</v>
      </c>
      <c r="D133">
        <v>25498.557561000001</v>
      </c>
      <c r="E133">
        <v>32038.819740999999</v>
      </c>
      <c r="F133">
        <v>4044.6846059999998</v>
      </c>
      <c r="G133">
        <v>4134809.6043679998</v>
      </c>
      <c r="H133">
        <v>163564.40838000001</v>
      </c>
      <c r="I133">
        <v>463865.58616100001</v>
      </c>
      <c r="J133">
        <v>0.55496900000000005</v>
      </c>
      <c r="K133">
        <v>0.239676</v>
      </c>
      <c r="L133">
        <v>-0.598441</v>
      </c>
      <c r="M133">
        <v>-72.048610999999994</v>
      </c>
      <c r="N133">
        <v>96.812117999999998</v>
      </c>
      <c r="O133">
        <v>362.18504999999999</v>
      </c>
      <c r="Q133" s="75">
        <f>final_solutions[[#This Row],[Obj1]]*(-1)*3.6</f>
        <v>259.37499959999997</v>
      </c>
      <c r="R133" s="75">
        <f>final_solutions[[#This Row],[Obj2]]</f>
        <v>96.812117999999998</v>
      </c>
      <c r="S133" s="75">
        <f>final_solutions[[#This Row],[Obj3]]/200</f>
        <v>1.8109252499999999</v>
      </c>
    </row>
    <row r="134" spans="1:19">
      <c r="A134" s="75">
        <v>29615.032010999999</v>
      </c>
      <c r="B134" s="75">
        <v>160102.39726</v>
      </c>
      <c r="C134" s="75">
        <v>171600.86429500001</v>
      </c>
      <c r="D134" s="75">
        <v>24498.759623999998</v>
      </c>
      <c r="E134" s="75">
        <v>30433.176754</v>
      </c>
      <c r="F134" s="75">
        <v>4394.8769169999996</v>
      </c>
      <c r="G134" s="75">
        <v>39742451.109802</v>
      </c>
      <c r="H134" s="75">
        <v>169011.59941200001</v>
      </c>
      <c r="I134" s="75">
        <v>2461655.5392189999</v>
      </c>
      <c r="J134" s="75">
        <v>0.27080700000000002</v>
      </c>
      <c r="K134" s="75">
        <v>0.639872</v>
      </c>
      <c r="L134" s="75">
        <v>-0.16842199999999999</v>
      </c>
      <c r="M134" s="75">
        <v>-155.381944</v>
      </c>
      <c r="N134" s="75">
        <v>310.038971</v>
      </c>
      <c r="O134" s="75">
        <v>279.96603399999998</v>
      </c>
      <c r="Q134" s="75">
        <f>final_solutions[[#This Row],[Obj1]]*(-1)*3.6</f>
        <v>559.37499839999998</v>
      </c>
      <c r="R134" s="75">
        <f>final_solutions[[#This Row],[Obj2]]</f>
        <v>310.038971</v>
      </c>
      <c r="S134" s="75">
        <f>final_solutions[[#This Row],[Obj3]]/200</f>
        <v>1.39983017</v>
      </c>
    </row>
    <row r="135" spans="1:19">
      <c r="A135" s="75">
        <v>29615.032010999999</v>
      </c>
      <c r="B135" s="75">
        <v>160102.39726</v>
      </c>
      <c r="C135" s="75">
        <v>188687.220115</v>
      </c>
      <c r="D135" s="75">
        <v>24524.993963000001</v>
      </c>
      <c r="E135" s="75">
        <v>30973.548180000002</v>
      </c>
      <c r="F135" s="75">
        <v>7633.0734169999996</v>
      </c>
      <c r="G135" s="75">
        <v>39837518.966839001</v>
      </c>
      <c r="H135" s="75">
        <v>170735.41886599999</v>
      </c>
      <c r="I135" s="75">
        <v>2376862.6588770002</v>
      </c>
      <c r="J135" s="75">
        <v>0.27080700000000002</v>
      </c>
      <c r="K135" s="75">
        <v>0.59430400000000005</v>
      </c>
      <c r="L135" s="75">
        <v>-0.16842199999999999</v>
      </c>
      <c r="M135" s="75">
        <v>-210.9375</v>
      </c>
      <c r="N135" s="75">
        <v>319.93182400000001</v>
      </c>
      <c r="O135" s="75">
        <v>286.61144200000001</v>
      </c>
      <c r="Q135" s="75">
        <f>final_solutions[[#This Row],[Obj1]]*(-1)*3.6</f>
        <v>759.375</v>
      </c>
      <c r="R135" s="75">
        <f>final_solutions[[#This Row],[Obj2]]</f>
        <v>319.93182400000001</v>
      </c>
      <c r="S135" s="75">
        <f>final_solutions[[#This Row],[Obj3]]/200</f>
        <v>1.4330572100000001</v>
      </c>
    </row>
    <row r="136" spans="1:19" hidden="1">
      <c r="A136">
        <v>11838.346984</v>
      </c>
      <c r="B136">
        <v>160750.333484</v>
      </c>
      <c r="C136">
        <v>390161.84547</v>
      </c>
      <c r="D136">
        <v>25308.129338999999</v>
      </c>
      <c r="E136">
        <v>32181.628508000002</v>
      </c>
      <c r="F136">
        <v>4049.8577570000002</v>
      </c>
      <c r="G136">
        <v>4173647.6013679998</v>
      </c>
      <c r="H136">
        <v>207170.794884</v>
      </c>
      <c r="I136">
        <v>520113.37361000001</v>
      </c>
      <c r="J136">
        <v>0.50554100000000002</v>
      </c>
      <c r="K136">
        <v>0.21612700000000001</v>
      </c>
      <c r="L136">
        <v>-0.59913499999999997</v>
      </c>
      <c r="M136">
        <v>-73.784722000000002</v>
      </c>
      <c r="N136">
        <v>94.739913999999999</v>
      </c>
      <c r="O136">
        <v>379.55765700000001</v>
      </c>
      <c r="Q136" s="75">
        <f>final_solutions[[#This Row],[Obj1]]*(-1)*3.6</f>
        <v>265.62499919999999</v>
      </c>
      <c r="R136" s="75">
        <f>final_solutions[[#This Row],[Obj2]]</f>
        <v>94.739913999999999</v>
      </c>
      <c r="S136" s="75">
        <f>final_solutions[[#This Row],[Obj3]]/200</f>
        <v>1.8977882850000001</v>
      </c>
    </row>
    <row r="137" spans="1:19" hidden="1">
      <c r="A137">
        <v>43647.072334999997</v>
      </c>
      <c r="B137">
        <v>160128.761662</v>
      </c>
      <c r="C137">
        <v>1116883.586232</v>
      </c>
      <c r="D137">
        <v>26464.923123</v>
      </c>
      <c r="E137">
        <v>30977.070168999999</v>
      </c>
      <c r="F137">
        <v>4101.442454</v>
      </c>
      <c r="G137">
        <v>37481931.782401003</v>
      </c>
      <c r="H137">
        <v>202755.25336</v>
      </c>
      <c r="I137">
        <v>2919722.279819</v>
      </c>
      <c r="J137">
        <v>0.51432199999999995</v>
      </c>
      <c r="K137">
        <v>0.63956100000000005</v>
      </c>
      <c r="L137">
        <v>-0.43459999999999999</v>
      </c>
      <c r="M137">
        <v>-224.82638900000001</v>
      </c>
      <c r="N137">
        <v>775.95623799999998</v>
      </c>
      <c r="O137">
        <v>259.965822</v>
      </c>
      <c r="Q137" s="75">
        <f>final_solutions[[#This Row],[Obj1]]*(-1)*3.6</f>
        <v>809.37500040000009</v>
      </c>
      <c r="R137" s="75">
        <f>final_solutions[[#This Row],[Obj2]]</f>
        <v>775.95623799999998</v>
      </c>
      <c r="S137" s="75">
        <f>final_solutions[[#This Row],[Obj3]]/200</f>
        <v>1.2998291100000001</v>
      </c>
    </row>
    <row r="138" spans="1:19" hidden="1">
      <c r="A138">
        <v>42236.736824</v>
      </c>
      <c r="B138">
        <v>177061.98815399999</v>
      </c>
      <c r="C138">
        <v>275695.19501899998</v>
      </c>
      <c r="D138">
        <v>24834.967058999999</v>
      </c>
      <c r="E138">
        <v>30256.551771999999</v>
      </c>
      <c r="F138">
        <v>4013.7410420000001</v>
      </c>
      <c r="G138">
        <v>5060431.7081319997</v>
      </c>
      <c r="H138">
        <v>26377.069523999999</v>
      </c>
      <c r="I138">
        <v>636246.09986099997</v>
      </c>
      <c r="J138">
        <v>0.62805200000000005</v>
      </c>
      <c r="K138">
        <v>0.37368600000000002</v>
      </c>
      <c r="L138">
        <v>-0.590893</v>
      </c>
      <c r="M138">
        <v>-108.506944</v>
      </c>
      <c r="N138">
        <v>200.44586200000001</v>
      </c>
      <c r="O138">
        <v>306.867704</v>
      </c>
      <c r="Q138" s="75">
        <f>final_solutions[[#This Row],[Obj1]]*(-1)*3.6</f>
        <v>390.62499840000004</v>
      </c>
      <c r="R138" s="75">
        <f>final_solutions[[#This Row],[Obj2]]</f>
        <v>200.44586200000001</v>
      </c>
      <c r="S138" s="75">
        <f>final_solutions[[#This Row],[Obj3]]/200</f>
        <v>1.5343385199999999</v>
      </c>
    </row>
    <row r="139" spans="1:19">
      <c r="A139" s="75">
        <v>10334.053851000001</v>
      </c>
      <c r="B139" s="75">
        <v>160194.96204400001</v>
      </c>
      <c r="C139" s="75">
        <v>449335.96885499998</v>
      </c>
      <c r="D139" s="75">
        <v>24363.488717</v>
      </c>
      <c r="E139" s="75">
        <v>33521.784414000002</v>
      </c>
      <c r="F139" s="75">
        <v>6124.9861959999998</v>
      </c>
      <c r="G139" s="75">
        <v>38822320.589115001</v>
      </c>
      <c r="H139" s="75">
        <v>117848.535852</v>
      </c>
      <c r="I139" s="75">
        <v>2757028.955141</v>
      </c>
      <c r="J139" s="75">
        <v>0.27894200000000002</v>
      </c>
      <c r="K139" s="75">
        <v>0.61473599999999995</v>
      </c>
      <c r="L139" s="75">
        <v>-0.208704</v>
      </c>
      <c r="M139" s="75">
        <v>-249.131944</v>
      </c>
      <c r="N139" s="75">
        <v>324.73461900000001</v>
      </c>
      <c r="O139" s="75">
        <v>283.09383400000002</v>
      </c>
      <c r="Q139" s="75">
        <f>final_solutions[[#This Row],[Obj1]]*(-1)*3.6</f>
        <v>896.87499839999998</v>
      </c>
      <c r="R139" s="75">
        <f>final_solutions[[#This Row],[Obj2]]</f>
        <v>324.73461900000001</v>
      </c>
      <c r="S139" s="75">
        <f>final_solutions[[#This Row],[Obj3]]/200</f>
        <v>1.4154691700000002</v>
      </c>
    </row>
    <row r="140" spans="1:19" hidden="1">
      <c r="A140">
        <v>16367.403867999999</v>
      </c>
      <c r="B140">
        <v>3248159.876474</v>
      </c>
      <c r="C140">
        <v>2933568.3816180001</v>
      </c>
      <c r="D140">
        <v>25803.733330999999</v>
      </c>
      <c r="E140">
        <v>30075.525915999999</v>
      </c>
      <c r="F140">
        <v>4007.5519519999998</v>
      </c>
      <c r="G140">
        <v>39878999.596786998</v>
      </c>
      <c r="H140">
        <v>241123.92538299999</v>
      </c>
      <c r="I140">
        <v>2999168.4150160002</v>
      </c>
      <c r="J140">
        <v>0.50933099999999998</v>
      </c>
      <c r="K140">
        <v>0.63986500000000002</v>
      </c>
      <c r="L140">
        <v>-0.30979099999999998</v>
      </c>
      <c r="M140">
        <v>-169.27083300000001</v>
      </c>
      <c r="N140">
        <v>937.21209699999997</v>
      </c>
      <c r="O140">
        <v>251.950108</v>
      </c>
      <c r="Q140" s="75">
        <f>final_solutions[[#This Row],[Obj1]]*(-1)*3.6</f>
        <v>609.37499880000007</v>
      </c>
      <c r="R140" s="75">
        <f>final_solutions[[#This Row],[Obj2]]</f>
        <v>937.21209699999997</v>
      </c>
      <c r="S140" s="75">
        <f>final_solutions[[#This Row],[Obj3]]/200</f>
        <v>1.25975054</v>
      </c>
    </row>
    <row r="141" spans="1:19" hidden="1">
      <c r="A141">
        <v>45849.311415999997</v>
      </c>
      <c r="B141">
        <v>160196.44289599999</v>
      </c>
      <c r="C141">
        <v>129964.705143</v>
      </c>
      <c r="D141">
        <v>24821.531805999999</v>
      </c>
      <c r="E141">
        <v>30061.372271</v>
      </c>
      <c r="F141">
        <v>4101.5171350000001</v>
      </c>
      <c r="G141">
        <v>39482583.881347999</v>
      </c>
      <c r="H141">
        <v>243704.969526</v>
      </c>
      <c r="I141">
        <v>2970774.73337</v>
      </c>
      <c r="J141">
        <v>0.47315499999999999</v>
      </c>
      <c r="K141">
        <v>0.63988900000000004</v>
      </c>
      <c r="L141">
        <v>-0.55776199999999998</v>
      </c>
      <c r="M141">
        <v>-176.21527800000001</v>
      </c>
      <c r="N141">
        <v>578.36737100000005</v>
      </c>
      <c r="O141">
        <v>260.33716299999998</v>
      </c>
      <c r="Q141" s="75">
        <f>final_solutions[[#This Row],[Obj1]]*(-1)*3.6</f>
        <v>634.37500080000007</v>
      </c>
      <c r="R141" s="75">
        <f>final_solutions[[#This Row],[Obj2]]</f>
        <v>578.36737100000005</v>
      </c>
      <c r="S141" s="75">
        <f>final_solutions[[#This Row],[Obj3]]/200</f>
        <v>1.3016858149999999</v>
      </c>
    </row>
    <row r="142" spans="1:19">
      <c r="A142" s="75">
        <v>27442.923158000001</v>
      </c>
      <c r="B142" s="75">
        <v>160175.125455</v>
      </c>
      <c r="C142" s="75">
        <v>297895.40035200003</v>
      </c>
      <c r="D142" s="75">
        <v>24453.719082</v>
      </c>
      <c r="E142" s="75">
        <v>31549.774869000001</v>
      </c>
      <c r="F142" s="75">
        <v>4120.8394859999999</v>
      </c>
      <c r="G142" s="75">
        <v>38866973.985919997</v>
      </c>
      <c r="H142" s="75">
        <v>120386.298758</v>
      </c>
      <c r="I142" s="75">
        <v>2996356.0738360002</v>
      </c>
      <c r="J142" s="75">
        <v>0.28775600000000001</v>
      </c>
      <c r="K142" s="75">
        <v>0.63968499999999995</v>
      </c>
      <c r="L142" s="75">
        <v>-0.200152</v>
      </c>
      <c r="M142" s="75">
        <v>-233.506944</v>
      </c>
      <c r="N142" s="75">
        <v>325.359283</v>
      </c>
      <c r="O142" s="75">
        <v>277.11019299999998</v>
      </c>
      <c r="Q142" s="75">
        <f>final_solutions[[#This Row],[Obj1]]*(-1)*3.6</f>
        <v>840.62499839999998</v>
      </c>
      <c r="R142" s="75">
        <f>final_solutions[[#This Row],[Obj2]]</f>
        <v>325.359283</v>
      </c>
      <c r="S142" s="75">
        <f>final_solutions[[#This Row],[Obj3]]/200</f>
        <v>1.385550965</v>
      </c>
    </row>
    <row r="143" spans="1:19">
      <c r="A143" s="75">
        <v>9963.1601019999998</v>
      </c>
      <c r="B143" s="75">
        <v>160194.96204400001</v>
      </c>
      <c r="C143" s="75">
        <v>445128.98606099997</v>
      </c>
      <c r="D143" s="75">
        <v>24647.556026999999</v>
      </c>
      <c r="E143" s="75">
        <v>30177.777342000001</v>
      </c>
      <c r="F143" s="75">
        <v>6124.9861959999998</v>
      </c>
      <c r="G143" s="75">
        <v>38822320.589115001</v>
      </c>
      <c r="H143" s="75">
        <v>141458.64709899999</v>
      </c>
      <c r="I143" s="75">
        <v>2757028.955141</v>
      </c>
      <c r="J143" s="75">
        <v>0.28442899999999999</v>
      </c>
      <c r="K143" s="75">
        <v>0.60878399999999999</v>
      </c>
      <c r="L143" s="75">
        <v>-0.208704</v>
      </c>
      <c r="M143" s="75">
        <v>-238.71527800000001</v>
      </c>
      <c r="N143" s="75">
        <v>328.19744900000001</v>
      </c>
      <c r="O143" s="75">
        <v>281.59632599999998</v>
      </c>
      <c r="Q143" s="75">
        <f>final_solutions[[#This Row],[Obj1]]*(-1)*3.6</f>
        <v>859.37500080000007</v>
      </c>
      <c r="R143" s="75">
        <f>final_solutions[[#This Row],[Obj2]]</f>
        <v>328.19744900000001</v>
      </c>
      <c r="S143" s="75">
        <f>final_solutions[[#This Row],[Obj3]]/200</f>
        <v>1.4079816299999999</v>
      </c>
    </row>
    <row r="144" spans="1:19" hidden="1">
      <c r="A144">
        <v>43104.375242000002</v>
      </c>
      <c r="B144">
        <v>161384.47313999999</v>
      </c>
      <c r="C144">
        <v>131720.58252500001</v>
      </c>
      <c r="D144">
        <v>25747.874908000002</v>
      </c>
      <c r="E144">
        <v>30025.769268</v>
      </c>
      <c r="F144">
        <v>4007.3671370000002</v>
      </c>
      <c r="G144">
        <v>39391897.288897999</v>
      </c>
      <c r="H144">
        <v>249441.082238</v>
      </c>
      <c r="I144">
        <v>2998255.3823239999</v>
      </c>
      <c r="J144">
        <v>0.44843</v>
      </c>
      <c r="K144">
        <v>0.63349699999999998</v>
      </c>
      <c r="L144">
        <v>-0.597661</v>
      </c>
      <c r="M144">
        <v>-174.47916699999999</v>
      </c>
      <c r="N144">
        <v>556.25555399999996</v>
      </c>
      <c r="O144">
        <v>262.01222100000001</v>
      </c>
      <c r="Q144" s="75">
        <f>final_solutions[[#This Row],[Obj1]]*(-1)*3.6</f>
        <v>628.12500119999993</v>
      </c>
      <c r="R144" s="75">
        <f>final_solutions[[#This Row],[Obj2]]</f>
        <v>556.25555399999996</v>
      </c>
      <c r="S144" s="75">
        <f>final_solutions[[#This Row],[Obj3]]/200</f>
        <v>1.3100611049999999</v>
      </c>
    </row>
    <row r="145" spans="1:19" hidden="1">
      <c r="A145">
        <v>2098.296695</v>
      </c>
      <c r="B145">
        <v>465901.52149499999</v>
      </c>
      <c r="C145">
        <v>2982148.0571519998</v>
      </c>
      <c r="D145">
        <v>25308.011215999999</v>
      </c>
      <c r="E145">
        <v>30045.593678000001</v>
      </c>
      <c r="F145">
        <v>4020.239967</v>
      </c>
      <c r="G145">
        <v>39308097.881506003</v>
      </c>
      <c r="H145">
        <v>240022.851039</v>
      </c>
      <c r="I145">
        <v>2999943.0621509999</v>
      </c>
      <c r="J145">
        <v>0.49977500000000002</v>
      </c>
      <c r="K145">
        <v>0.63986500000000002</v>
      </c>
      <c r="L145">
        <v>-0.52524400000000004</v>
      </c>
      <c r="M145">
        <v>-184.89583300000001</v>
      </c>
      <c r="N145">
        <v>761.63885500000004</v>
      </c>
      <c r="O145">
        <v>258.41033199999998</v>
      </c>
      <c r="Q145" s="75">
        <f>final_solutions[[#This Row],[Obj1]]*(-1)*3.6</f>
        <v>665.62499880000007</v>
      </c>
      <c r="R145" s="75">
        <f>final_solutions[[#This Row],[Obj2]]</f>
        <v>761.63885500000004</v>
      </c>
      <c r="S145" s="75">
        <f>final_solutions[[#This Row],[Obj3]]/200</f>
        <v>1.2920516599999998</v>
      </c>
    </row>
    <row r="146" spans="1:19" hidden="1">
      <c r="A146">
        <v>42295.082456999997</v>
      </c>
      <c r="B146">
        <v>477535.715945</v>
      </c>
      <c r="C146">
        <v>682033.64856300002</v>
      </c>
      <c r="D146">
        <v>32934.803549999997</v>
      </c>
      <c r="E146">
        <v>30899.772399000001</v>
      </c>
      <c r="F146">
        <v>4020.3515649999999</v>
      </c>
      <c r="G146">
        <v>38986756.827913001</v>
      </c>
      <c r="H146">
        <v>194251.92293500001</v>
      </c>
      <c r="I146">
        <v>2999302.027669</v>
      </c>
      <c r="J146">
        <v>0.57225899999999996</v>
      </c>
      <c r="K146">
        <v>0.639679</v>
      </c>
      <c r="L146">
        <v>-0.52497799999999994</v>
      </c>
      <c r="M146">
        <v>-235.243056</v>
      </c>
      <c r="N146">
        <v>914.60015899999996</v>
      </c>
      <c r="O146">
        <v>258.10257300000001</v>
      </c>
      <c r="Q146" s="75">
        <f>final_solutions[[#This Row],[Obj1]]*(-1)*3.6</f>
        <v>846.87500160000002</v>
      </c>
      <c r="R146" s="75">
        <f>final_solutions[[#This Row],[Obj2]]</f>
        <v>914.60015899999996</v>
      </c>
      <c r="S146" s="75">
        <f>final_solutions[[#This Row],[Obj3]]/200</f>
        <v>1.290512865</v>
      </c>
    </row>
    <row r="147" spans="1:19" hidden="1">
      <c r="A147">
        <v>15379.256867</v>
      </c>
      <c r="B147">
        <v>3248159.876474</v>
      </c>
      <c r="C147">
        <v>2922213.704558</v>
      </c>
      <c r="D147">
        <v>24069.494712</v>
      </c>
      <c r="E147">
        <v>30056.241728000001</v>
      </c>
      <c r="F147">
        <v>4008.361821</v>
      </c>
      <c r="G147">
        <v>39969414.803188004</v>
      </c>
      <c r="H147">
        <v>231016.95397900001</v>
      </c>
      <c r="I147">
        <v>2999245.643689</v>
      </c>
      <c r="J147">
        <v>0.50933099999999998</v>
      </c>
      <c r="K147">
        <v>0.63986500000000002</v>
      </c>
      <c r="L147">
        <v>-0.48072399999999998</v>
      </c>
      <c r="M147">
        <v>-171.006944</v>
      </c>
      <c r="N147">
        <v>933.53808600000002</v>
      </c>
      <c r="O147">
        <v>252.144497</v>
      </c>
      <c r="Q147" s="75">
        <f>final_solutions[[#This Row],[Obj1]]*(-1)*3.6</f>
        <v>615.62499839999998</v>
      </c>
      <c r="R147" s="75">
        <f>final_solutions[[#This Row],[Obj2]]</f>
        <v>933.53808600000002</v>
      </c>
      <c r="S147" s="75">
        <f>final_solutions[[#This Row],[Obj3]]/200</f>
        <v>1.2607224850000001</v>
      </c>
    </row>
    <row r="148" spans="1:19" hidden="1">
      <c r="A148">
        <v>8095.3999979999999</v>
      </c>
      <c r="B148">
        <v>161795.096097</v>
      </c>
      <c r="C148">
        <v>205618.491109</v>
      </c>
      <c r="D148">
        <v>24434.412998</v>
      </c>
      <c r="E148">
        <v>33236.380980000002</v>
      </c>
      <c r="F148">
        <v>4044.7722829999998</v>
      </c>
      <c r="G148">
        <v>6984127.7808079999</v>
      </c>
      <c r="H148">
        <v>207648.92812999999</v>
      </c>
      <c r="I148">
        <v>483094.10849700001</v>
      </c>
      <c r="J148">
        <v>0.57306699999999999</v>
      </c>
      <c r="K148">
        <v>0.25803500000000001</v>
      </c>
      <c r="L148">
        <v>-0.59551500000000002</v>
      </c>
      <c r="M148">
        <v>-91.145832999999996</v>
      </c>
      <c r="N148">
        <v>99.470023999999995</v>
      </c>
      <c r="O148">
        <v>355.04114099999998</v>
      </c>
      <c r="Q148" s="75">
        <f>final_solutions[[#This Row],[Obj1]]*(-1)*3.6</f>
        <v>328.12499880000001</v>
      </c>
      <c r="R148" s="75">
        <f>final_solutions[[#This Row],[Obj2]]</f>
        <v>99.470023999999995</v>
      </c>
      <c r="S148" s="75">
        <f>final_solutions[[#This Row],[Obj3]]/200</f>
        <v>1.7752057049999999</v>
      </c>
    </row>
    <row r="149" spans="1:19" hidden="1">
      <c r="A149">
        <v>2098.296695</v>
      </c>
      <c r="B149">
        <v>167431.04639900001</v>
      </c>
      <c r="C149">
        <v>2982148.0571519998</v>
      </c>
      <c r="D149">
        <v>25308.011215999999</v>
      </c>
      <c r="E149">
        <v>30043.519616000001</v>
      </c>
      <c r="F149">
        <v>4020.239967</v>
      </c>
      <c r="G149">
        <v>37989680.636224002</v>
      </c>
      <c r="H149">
        <v>164033.70675000001</v>
      </c>
      <c r="I149">
        <v>2999982.7804549998</v>
      </c>
      <c r="J149">
        <v>0.52341700000000002</v>
      </c>
      <c r="K149">
        <v>0.63983999999999996</v>
      </c>
      <c r="L149">
        <v>-0.52524400000000004</v>
      </c>
      <c r="M149">
        <v>-249.131944</v>
      </c>
      <c r="N149">
        <v>741.54846199999997</v>
      </c>
      <c r="O149">
        <v>260.50372299999998</v>
      </c>
      <c r="Q149" s="75">
        <f>final_solutions[[#This Row],[Obj1]]*(-1)*3.6</f>
        <v>896.87499839999998</v>
      </c>
      <c r="R149" s="75">
        <f>final_solutions[[#This Row],[Obj2]]</f>
        <v>741.54846199999997</v>
      </c>
      <c r="S149" s="75">
        <f>final_solutions[[#This Row],[Obj3]]/200</f>
        <v>1.3025186149999999</v>
      </c>
    </row>
    <row r="150" spans="1:19" hidden="1">
      <c r="A150">
        <v>23460.020853000002</v>
      </c>
      <c r="B150">
        <v>160742.51418100001</v>
      </c>
      <c r="C150">
        <v>2362631.192667</v>
      </c>
      <c r="D150">
        <v>25220.715453000001</v>
      </c>
      <c r="E150">
        <v>30062.229576999998</v>
      </c>
      <c r="F150">
        <v>4049.9092989999999</v>
      </c>
      <c r="G150">
        <v>4177475.3308310001</v>
      </c>
      <c r="H150">
        <v>247612.470539</v>
      </c>
      <c r="I150">
        <v>515301.27744400001</v>
      </c>
      <c r="J150">
        <v>0.51178800000000002</v>
      </c>
      <c r="K150">
        <v>0.21612000000000001</v>
      </c>
      <c r="L150">
        <v>-0.59912900000000002</v>
      </c>
      <c r="M150">
        <v>-75.520832999999996</v>
      </c>
      <c r="N150">
        <v>94.868804999999995</v>
      </c>
      <c r="O150">
        <v>389.92604999999998</v>
      </c>
      <c r="Q150" s="75">
        <f>final_solutions[[#This Row],[Obj1]]*(-1)*3.6</f>
        <v>271.87499880000001</v>
      </c>
      <c r="R150" s="75">
        <f>final_solutions[[#This Row],[Obj2]]</f>
        <v>94.868804999999995</v>
      </c>
      <c r="S150" s="75">
        <f>final_solutions[[#This Row],[Obj3]]/200</f>
        <v>1.9496302499999998</v>
      </c>
    </row>
    <row r="151" spans="1:19">
      <c r="A151" s="75">
        <v>47515.08539</v>
      </c>
      <c r="B151" s="75">
        <v>160387.380064</v>
      </c>
      <c r="C151" s="75">
        <v>261063.23762500001</v>
      </c>
      <c r="D151" s="75">
        <v>25350.221465999999</v>
      </c>
      <c r="E151" s="75">
        <v>30040.296958999999</v>
      </c>
      <c r="F151" s="75">
        <v>4015.9420439999999</v>
      </c>
      <c r="G151" s="75">
        <v>37805279.546250999</v>
      </c>
      <c r="H151" s="75">
        <v>145445.28992700001</v>
      </c>
      <c r="I151" s="75">
        <v>2974150.8393649999</v>
      </c>
      <c r="J151" s="75">
        <v>0.29574699999999998</v>
      </c>
      <c r="K151" s="75">
        <v>0.63968800000000003</v>
      </c>
      <c r="L151" s="75">
        <v>-0.19263</v>
      </c>
      <c r="M151" s="75">
        <v>-210.9375</v>
      </c>
      <c r="N151" s="75">
        <v>330.70413200000002</v>
      </c>
      <c r="O151" s="75">
        <v>274.80860100000001</v>
      </c>
      <c r="Q151" s="75">
        <f>final_solutions[[#This Row],[Obj1]]*(-1)*3.6</f>
        <v>759.375</v>
      </c>
      <c r="R151" s="75">
        <f>final_solutions[[#This Row],[Obj2]]</f>
        <v>330.70413200000002</v>
      </c>
      <c r="S151" s="75">
        <f>final_solutions[[#This Row],[Obj3]]/200</f>
        <v>1.3740430050000001</v>
      </c>
    </row>
    <row r="152" spans="1:19">
      <c r="A152" s="75">
        <v>47515.08539</v>
      </c>
      <c r="B152" s="75">
        <v>160290.72070199999</v>
      </c>
      <c r="C152" s="75">
        <v>261063.23762500001</v>
      </c>
      <c r="D152" s="75">
        <v>24157.502075</v>
      </c>
      <c r="E152" s="75">
        <v>32886.681385999997</v>
      </c>
      <c r="F152" s="75">
        <v>4010.9035690000001</v>
      </c>
      <c r="G152" s="75">
        <v>37805279.546250999</v>
      </c>
      <c r="H152" s="75">
        <v>145448.48599099999</v>
      </c>
      <c r="I152" s="75">
        <v>2974150.8393649999</v>
      </c>
      <c r="J152" s="75">
        <v>0.28782600000000003</v>
      </c>
      <c r="K152" s="75">
        <v>0.60962000000000005</v>
      </c>
      <c r="L152" s="75">
        <v>-0.19263</v>
      </c>
      <c r="M152" s="75">
        <v>-243.92361099999999</v>
      </c>
      <c r="N152" s="75">
        <v>332.49102800000003</v>
      </c>
      <c r="O152" s="75">
        <v>278.80665399999998</v>
      </c>
      <c r="Q152" s="75">
        <f>final_solutions[[#This Row],[Obj1]]*(-1)*3.6</f>
        <v>878.12499960000002</v>
      </c>
      <c r="R152" s="75">
        <f>final_solutions[[#This Row],[Obj2]]</f>
        <v>332.49102800000003</v>
      </c>
      <c r="S152" s="75">
        <f>final_solutions[[#This Row],[Obj3]]/200</f>
        <v>1.39403327</v>
      </c>
    </row>
    <row r="153" spans="1:19" hidden="1">
      <c r="A153">
        <v>2032.361478</v>
      </c>
      <c r="B153">
        <v>465634.58404099999</v>
      </c>
      <c r="C153">
        <v>2939449.773056</v>
      </c>
      <c r="D153">
        <v>25717.300445000001</v>
      </c>
      <c r="E153">
        <v>30038.257418000001</v>
      </c>
      <c r="F153">
        <v>4001.931529</v>
      </c>
      <c r="G153">
        <v>39974724.657948002</v>
      </c>
      <c r="H153">
        <v>240022.851039</v>
      </c>
      <c r="I153">
        <v>2992657.9445560002</v>
      </c>
      <c r="J153">
        <v>0.56262599999999996</v>
      </c>
      <c r="K153">
        <v>0.63996200000000003</v>
      </c>
      <c r="L153">
        <v>-0.59005799999999997</v>
      </c>
      <c r="M153">
        <v>-217.881944</v>
      </c>
      <c r="N153">
        <v>866.54730199999995</v>
      </c>
      <c r="O153">
        <v>257.23503799999997</v>
      </c>
      <c r="Q153" s="75">
        <f>final_solutions[[#This Row],[Obj1]]*(-1)*3.6</f>
        <v>784.37499839999998</v>
      </c>
      <c r="R153" s="75">
        <f>final_solutions[[#This Row],[Obj2]]</f>
        <v>866.54730199999995</v>
      </c>
      <c r="S153" s="75">
        <f>final_solutions[[#This Row],[Obj3]]/200</f>
        <v>1.2861751899999998</v>
      </c>
    </row>
    <row r="154" spans="1:19" hidden="1">
      <c r="A154">
        <v>23460.020853000002</v>
      </c>
      <c r="B154">
        <v>160742.51418100001</v>
      </c>
      <c r="C154">
        <v>390161.84547</v>
      </c>
      <c r="D154">
        <v>25223.180185000001</v>
      </c>
      <c r="E154">
        <v>30764.230415000002</v>
      </c>
      <c r="F154">
        <v>4049.9092989999999</v>
      </c>
      <c r="G154">
        <v>4173647.6013679998</v>
      </c>
      <c r="H154">
        <v>207170.794884</v>
      </c>
      <c r="I154">
        <v>515301.27744400001</v>
      </c>
      <c r="J154">
        <v>0.50583299999999998</v>
      </c>
      <c r="K154">
        <v>0.21612700000000001</v>
      </c>
      <c r="L154">
        <v>-0.59912900000000002</v>
      </c>
      <c r="M154">
        <v>-73.784722000000002</v>
      </c>
      <c r="N154">
        <v>94.673232999999996</v>
      </c>
      <c r="O154">
        <v>379.77927599999998</v>
      </c>
      <c r="Q154" s="75">
        <f>final_solutions[[#This Row],[Obj1]]*(-1)*3.6</f>
        <v>265.62499919999999</v>
      </c>
      <c r="R154" s="75">
        <f>final_solutions[[#This Row],[Obj2]]</f>
        <v>94.673232999999996</v>
      </c>
      <c r="S154" s="75">
        <f>final_solutions[[#This Row],[Obj3]]/200</f>
        <v>1.8988963799999998</v>
      </c>
    </row>
    <row r="155" spans="1:19" hidden="1">
      <c r="A155">
        <v>15379.256867</v>
      </c>
      <c r="B155">
        <v>361367.06428799999</v>
      </c>
      <c r="C155">
        <v>2922213.704558</v>
      </c>
      <c r="D155">
        <v>27751.199069999999</v>
      </c>
      <c r="E155">
        <v>30930.546292999999</v>
      </c>
      <c r="F155">
        <v>4008.361821</v>
      </c>
      <c r="G155">
        <v>39953205.958709002</v>
      </c>
      <c r="H155">
        <v>230651.61045199999</v>
      </c>
      <c r="I155">
        <v>2998839.2472689999</v>
      </c>
      <c r="J155">
        <v>0.57105600000000001</v>
      </c>
      <c r="K155">
        <v>0.63986500000000002</v>
      </c>
      <c r="L155">
        <v>-0.48072399999999998</v>
      </c>
      <c r="M155">
        <v>-223.09027800000001</v>
      </c>
      <c r="N155">
        <v>917.61920199999997</v>
      </c>
      <c r="O155">
        <v>257.39133700000002</v>
      </c>
      <c r="Q155" s="75">
        <f>final_solutions[[#This Row],[Obj1]]*(-1)*3.6</f>
        <v>803.12500080000007</v>
      </c>
      <c r="R155" s="75">
        <f>final_solutions[[#This Row],[Obj2]]</f>
        <v>917.61920199999997</v>
      </c>
      <c r="S155" s="75">
        <f>final_solutions[[#This Row],[Obj3]]/200</f>
        <v>1.286956685</v>
      </c>
    </row>
    <row r="156" spans="1:19">
      <c r="A156" s="75">
        <v>47400.084834000001</v>
      </c>
      <c r="B156" s="75">
        <v>160836.53834500001</v>
      </c>
      <c r="C156" s="75">
        <v>140178.036047</v>
      </c>
      <c r="D156" s="75">
        <v>24421.239785999998</v>
      </c>
      <c r="E156" s="75">
        <v>30096.079922000001</v>
      </c>
      <c r="F156" s="75">
        <v>4102.4594280000001</v>
      </c>
      <c r="G156" s="75">
        <v>39723650.332110003</v>
      </c>
      <c r="H156" s="75">
        <v>192319.703163</v>
      </c>
      <c r="I156" s="75">
        <v>2885056.2123329998</v>
      </c>
      <c r="J156" s="75">
        <v>0.30008899999999999</v>
      </c>
      <c r="K156" s="75">
        <v>0.63803399999999999</v>
      </c>
      <c r="L156" s="75">
        <v>-0.17489099999999999</v>
      </c>
      <c r="M156" s="75">
        <v>-160.59027800000001</v>
      </c>
      <c r="N156" s="75">
        <v>339.83273300000002</v>
      </c>
      <c r="O156" s="75">
        <v>273.20384799999999</v>
      </c>
      <c r="Q156" s="75">
        <f>final_solutions[[#This Row],[Obj1]]*(-1)*3.6</f>
        <v>578.12500080000007</v>
      </c>
      <c r="R156" s="75">
        <f>final_solutions[[#This Row],[Obj2]]</f>
        <v>339.83273300000002</v>
      </c>
      <c r="S156" s="75">
        <f>final_solutions[[#This Row],[Obj3]]/200</f>
        <v>1.36601924</v>
      </c>
    </row>
    <row r="157" spans="1:19" hidden="1">
      <c r="A157">
        <v>15409.600601</v>
      </c>
      <c r="B157">
        <v>191515.60686199999</v>
      </c>
      <c r="C157">
        <v>2922213.704558</v>
      </c>
      <c r="D157">
        <v>24069.494712</v>
      </c>
      <c r="E157">
        <v>30871.377648000001</v>
      </c>
      <c r="F157">
        <v>4070.131875</v>
      </c>
      <c r="G157">
        <v>39970154.799309999</v>
      </c>
      <c r="H157">
        <v>229417.73031399999</v>
      </c>
      <c r="I157">
        <v>2999877.5160500002</v>
      </c>
      <c r="J157">
        <v>0.51136000000000004</v>
      </c>
      <c r="K157">
        <v>0.63986500000000002</v>
      </c>
      <c r="L157">
        <v>-0.48072399999999998</v>
      </c>
      <c r="M157">
        <v>-217.881944</v>
      </c>
      <c r="N157">
        <v>735.21130400000004</v>
      </c>
      <c r="O157">
        <v>258.93363099999999</v>
      </c>
      <c r="Q157" s="75">
        <f>final_solutions[[#This Row],[Obj1]]*(-1)*3.6</f>
        <v>784.37499839999998</v>
      </c>
      <c r="R157" s="75">
        <f>final_solutions[[#This Row],[Obj2]]</f>
        <v>735.21130400000004</v>
      </c>
      <c r="S157" s="75">
        <f>final_solutions[[#This Row],[Obj3]]/200</f>
        <v>1.2946681549999999</v>
      </c>
    </row>
    <row r="158" spans="1:19">
      <c r="A158" s="75">
        <v>47400.084834000001</v>
      </c>
      <c r="B158" s="75">
        <v>160867.131543</v>
      </c>
      <c r="C158" s="75">
        <v>140072.75536400001</v>
      </c>
      <c r="D158" s="75">
        <v>24276.814274</v>
      </c>
      <c r="E158" s="75">
        <v>30089.888447000001</v>
      </c>
      <c r="F158" s="75">
        <v>4102.4594280000001</v>
      </c>
      <c r="G158" s="75">
        <v>39723650.332110003</v>
      </c>
      <c r="H158" s="75">
        <v>204912.41837</v>
      </c>
      <c r="I158" s="75">
        <v>2996608.3913489999</v>
      </c>
      <c r="J158" s="75">
        <v>0.30008899999999999</v>
      </c>
      <c r="K158" s="75">
        <v>0.63805599999999996</v>
      </c>
      <c r="L158" s="75">
        <v>-0.17487</v>
      </c>
      <c r="M158" s="75">
        <v>-158.85416699999999</v>
      </c>
      <c r="N158" s="75">
        <v>341.36084</v>
      </c>
      <c r="O158" s="75">
        <v>272.27385399999997</v>
      </c>
      <c r="Q158" s="75">
        <f>final_solutions[[#This Row],[Obj1]]*(-1)*3.6</f>
        <v>571.87500119999993</v>
      </c>
      <c r="R158" s="75">
        <f>final_solutions[[#This Row],[Obj2]]</f>
        <v>341.36084</v>
      </c>
      <c r="S158" s="75">
        <f>final_solutions[[#This Row],[Obj3]]/200</f>
        <v>1.36136927</v>
      </c>
    </row>
    <row r="159" spans="1:19">
      <c r="A159" s="75">
        <v>47468.012276000001</v>
      </c>
      <c r="B159" s="75">
        <v>160392.81847900001</v>
      </c>
      <c r="C159" s="75">
        <v>120036.091126</v>
      </c>
      <c r="D159" s="75">
        <v>24230.781633999999</v>
      </c>
      <c r="E159" s="75">
        <v>30070.843356000001</v>
      </c>
      <c r="F159" s="75">
        <v>4103.7954159999999</v>
      </c>
      <c r="G159" s="75">
        <v>39663736.609907001</v>
      </c>
      <c r="H159" s="75">
        <v>203214.34366000001</v>
      </c>
      <c r="I159" s="75">
        <v>2974369.9279339998</v>
      </c>
      <c r="J159" s="75">
        <v>0.30997599999999997</v>
      </c>
      <c r="K159" s="75">
        <v>0.639876</v>
      </c>
      <c r="L159" s="75">
        <v>-0.18381400000000001</v>
      </c>
      <c r="M159" s="75">
        <v>-158.85416699999999</v>
      </c>
      <c r="N159" s="75">
        <v>348.14813199999998</v>
      </c>
      <c r="O159" s="75">
        <v>271.30923300000001</v>
      </c>
      <c r="Q159" s="75">
        <f>final_solutions[[#This Row],[Obj1]]*(-1)*3.6</f>
        <v>571.87500119999993</v>
      </c>
      <c r="R159" s="75">
        <f>final_solutions[[#This Row],[Obj2]]</f>
        <v>348.14813199999998</v>
      </c>
      <c r="S159" s="75">
        <f>final_solutions[[#This Row],[Obj3]]/200</f>
        <v>1.3565461650000001</v>
      </c>
    </row>
    <row r="160" spans="1:19">
      <c r="A160" s="75">
        <v>30693.254594999999</v>
      </c>
      <c r="B160" s="75">
        <v>164525.32999900001</v>
      </c>
      <c r="C160" s="75">
        <v>174711.11886700001</v>
      </c>
      <c r="D160" s="75">
        <v>25802.164022000001</v>
      </c>
      <c r="E160" s="75">
        <v>30783.231986999999</v>
      </c>
      <c r="F160" s="75">
        <v>4209.947811</v>
      </c>
      <c r="G160" s="75">
        <v>39988825.479161002</v>
      </c>
      <c r="H160" s="75">
        <v>237828.184633</v>
      </c>
      <c r="I160" s="75">
        <v>2833065.9999620002</v>
      </c>
      <c r="J160" s="75">
        <v>0.34683999999999998</v>
      </c>
      <c r="K160" s="75">
        <v>0.63998900000000003</v>
      </c>
      <c r="L160" s="75">
        <v>-0.30593599999999999</v>
      </c>
      <c r="M160" s="75">
        <v>-157.118056</v>
      </c>
      <c r="N160" s="75">
        <v>364.58056599999998</v>
      </c>
      <c r="O160" s="75">
        <v>268.59766400000001</v>
      </c>
      <c r="Q160" s="75">
        <f>final_solutions[[#This Row],[Obj1]]*(-1)*3.6</f>
        <v>565.62500160000002</v>
      </c>
      <c r="R160" s="75">
        <f>final_solutions[[#This Row],[Obj2]]</f>
        <v>364.58056599999998</v>
      </c>
      <c r="S160" s="75">
        <f>final_solutions[[#This Row],[Obj3]]/200</f>
        <v>1.3429883200000001</v>
      </c>
    </row>
    <row r="161" spans="1:19" hidden="1">
      <c r="A161">
        <v>28366.839457999999</v>
      </c>
      <c r="B161">
        <v>1822290.0225730001</v>
      </c>
      <c r="C161">
        <v>2950560.0258300002</v>
      </c>
      <c r="D161">
        <v>25787.822717999999</v>
      </c>
      <c r="E161">
        <v>30132.010291999999</v>
      </c>
      <c r="F161">
        <v>4411.75137</v>
      </c>
      <c r="G161">
        <v>39813107.921919003</v>
      </c>
      <c r="H161">
        <v>213472.671611</v>
      </c>
      <c r="I161">
        <v>2990145.5504589998</v>
      </c>
      <c r="J161">
        <v>0.51564200000000004</v>
      </c>
      <c r="K161">
        <v>0.63998999999999995</v>
      </c>
      <c r="L161">
        <v>-0.59891899999999998</v>
      </c>
      <c r="M161">
        <v>-193.57638900000001</v>
      </c>
      <c r="N161">
        <v>883.82501200000002</v>
      </c>
      <c r="O161">
        <v>255.96637000000001</v>
      </c>
      <c r="Q161" s="75">
        <f>final_solutions[[#This Row],[Obj1]]*(-1)*3.6</f>
        <v>696.87500040000009</v>
      </c>
      <c r="R161" s="75">
        <f>final_solutions[[#This Row],[Obj2]]</f>
        <v>883.82501200000002</v>
      </c>
      <c r="S161" s="75">
        <f>final_solutions[[#This Row],[Obj3]]/200</f>
        <v>1.2798318500000001</v>
      </c>
    </row>
    <row r="162" spans="1:19" hidden="1">
      <c r="A162">
        <v>44822.159360999998</v>
      </c>
      <c r="B162">
        <v>160610.56038099999</v>
      </c>
      <c r="C162">
        <v>659862.75980600005</v>
      </c>
      <c r="D162">
        <v>27251.954446</v>
      </c>
      <c r="E162">
        <v>35889.706679000003</v>
      </c>
      <c r="F162">
        <v>4048.6765249999999</v>
      </c>
      <c r="G162">
        <v>4972414.6161080003</v>
      </c>
      <c r="H162">
        <v>166532.25723300001</v>
      </c>
      <c r="I162">
        <v>511245.69089799997</v>
      </c>
      <c r="J162">
        <v>0.527887</v>
      </c>
      <c r="K162">
        <v>0.23827400000000001</v>
      </c>
      <c r="L162">
        <v>-0.599159</v>
      </c>
      <c r="M162">
        <v>-75.520832999999996</v>
      </c>
      <c r="N162">
        <v>97.440314999999998</v>
      </c>
      <c r="O162">
        <v>357.51737700000001</v>
      </c>
      <c r="Q162" s="75">
        <f>final_solutions[[#This Row],[Obj1]]*(-1)*3.6</f>
        <v>271.87499880000001</v>
      </c>
      <c r="R162" s="75">
        <f>final_solutions[[#This Row],[Obj2]]</f>
        <v>97.440314999999998</v>
      </c>
      <c r="S162" s="75">
        <f>final_solutions[[#This Row],[Obj3]]/200</f>
        <v>1.7875868850000001</v>
      </c>
    </row>
    <row r="163" spans="1:19">
      <c r="A163" s="75">
        <v>30693.254594999999</v>
      </c>
      <c r="B163" s="75">
        <v>160068.99828199999</v>
      </c>
      <c r="C163" s="75">
        <v>154814.67580999999</v>
      </c>
      <c r="D163" s="75">
        <v>25802.164022000001</v>
      </c>
      <c r="E163" s="75">
        <v>30752.667277</v>
      </c>
      <c r="F163" s="75">
        <v>4045.4006469999999</v>
      </c>
      <c r="G163" s="75">
        <v>39995083.734114997</v>
      </c>
      <c r="H163" s="75">
        <v>237828.184633</v>
      </c>
      <c r="I163" s="75">
        <v>2833065.9999620002</v>
      </c>
      <c r="J163" s="75">
        <v>0.36131099999999999</v>
      </c>
      <c r="K163" s="75">
        <v>0.63998900000000003</v>
      </c>
      <c r="L163" s="75">
        <v>-0.30593599999999999</v>
      </c>
      <c r="M163" s="75">
        <v>-157.118056</v>
      </c>
      <c r="N163" s="75">
        <v>374.78216600000002</v>
      </c>
      <c r="O163" s="75">
        <v>267.28386399999999</v>
      </c>
      <c r="Q163" s="75">
        <f>final_solutions[[#This Row],[Obj1]]*(-1)*3.6</f>
        <v>565.62500160000002</v>
      </c>
      <c r="R163" s="75">
        <f>final_solutions[[#This Row],[Obj2]]</f>
        <v>374.78216600000002</v>
      </c>
      <c r="S163" s="75">
        <f>final_solutions[[#This Row],[Obj3]]/200</f>
        <v>1.3364193200000001</v>
      </c>
    </row>
    <row r="164" spans="1:19">
      <c r="A164" s="75">
        <v>30693.254594999999</v>
      </c>
      <c r="B164" s="75">
        <v>160068.95202500001</v>
      </c>
      <c r="C164" s="75">
        <v>187139.78121099999</v>
      </c>
      <c r="D164" s="75">
        <v>25756.680211999999</v>
      </c>
      <c r="E164" s="75">
        <v>30752.667277</v>
      </c>
      <c r="F164" s="75">
        <v>4042.7052170000002</v>
      </c>
      <c r="G164" s="75">
        <v>39995083.734114997</v>
      </c>
      <c r="H164" s="75">
        <v>237828.184633</v>
      </c>
      <c r="I164" s="75">
        <v>2833065.9999620002</v>
      </c>
      <c r="J164" s="75">
        <v>0.36131099999999999</v>
      </c>
      <c r="K164" s="75">
        <v>0.63841300000000001</v>
      </c>
      <c r="L164" s="75">
        <v>-0.30593599999999999</v>
      </c>
      <c r="M164" s="75">
        <v>-158.85416699999999</v>
      </c>
      <c r="N164" s="75">
        <v>376.30044600000002</v>
      </c>
      <c r="O164" s="75">
        <v>267.419759</v>
      </c>
      <c r="Q164" s="75">
        <f>final_solutions[[#This Row],[Obj1]]*(-1)*3.6</f>
        <v>571.87500119999993</v>
      </c>
      <c r="R164" s="75">
        <f>final_solutions[[#This Row],[Obj2]]</f>
        <v>376.30044600000002</v>
      </c>
      <c r="S164" s="75">
        <f>final_solutions[[#This Row],[Obj3]]/200</f>
        <v>1.337098795</v>
      </c>
    </row>
    <row r="165" spans="1:19" hidden="1">
      <c r="A165">
        <v>45237.272748000003</v>
      </c>
      <c r="B165">
        <v>175977.60571999999</v>
      </c>
      <c r="C165">
        <v>2212223.2908899998</v>
      </c>
      <c r="D165">
        <v>24076.722039</v>
      </c>
      <c r="E165">
        <v>30252.125558</v>
      </c>
      <c r="F165">
        <v>4014.9024340000001</v>
      </c>
      <c r="G165">
        <v>5159497.0472579999</v>
      </c>
      <c r="H165">
        <v>21203.863167</v>
      </c>
      <c r="I165">
        <v>614217.15142899996</v>
      </c>
      <c r="J165">
        <v>0.62909999999999999</v>
      </c>
      <c r="K165">
        <v>0.37052000000000002</v>
      </c>
      <c r="L165">
        <v>-0.59379899999999997</v>
      </c>
      <c r="M165">
        <v>-94.618055999999996</v>
      </c>
      <c r="N165">
        <v>179.67610199999999</v>
      </c>
      <c r="O165">
        <v>302.76352800000001</v>
      </c>
      <c r="Q165" s="75">
        <f>final_solutions[[#This Row],[Obj1]]*(-1)*3.6</f>
        <v>340.62500160000002</v>
      </c>
      <c r="R165" s="75">
        <f>final_solutions[[#This Row],[Obj2]]</f>
        <v>179.67610199999999</v>
      </c>
      <c r="S165" s="75">
        <f>final_solutions[[#This Row],[Obj3]]/200</f>
        <v>1.5138176400000001</v>
      </c>
    </row>
    <row r="166" spans="1:19" hidden="1">
      <c r="A166">
        <v>2098.296695</v>
      </c>
      <c r="B166">
        <v>167431.04639900001</v>
      </c>
      <c r="C166">
        <v>2982148.0571519998</v>
      </c>
      <c r="D166">
        <v>25342.602875</v>
      </c>
      <c r="E166">
        <v>30080.110626999998</v>
      </c>
      <c r="F166">
        <v>4020.239967</v>
      </c>
      <c r="G166">
        <v>39979826.921149001</v>
      </c>
      <c r="H166">
        <v>164033.70675000001</v>
      </c>
      <c r="I166">
        <v>2998036.0365129998</v>
      </c>
      <c r="J166">
        <v>0.52341700000000002</v>
      </c>
      <c r="K166">
        <v>0.63983999999999996</v>
      </c>
      <c r="L166">
        <v>-0.580175</v>
      </c>
      <c r="M166">
        <v>-249.131944</v>
      </c>
      <c r="N166">
        <v>725.47186299999998</v>
      </c>
      <c r="O166">
        <v>260.62253500000003</v>
      </c>
      <c r="Q166" s="75">
        <f>final_solutions[[#This Row],[Obj1]]*(-1)*3.6</f>
        <v>896.87499839999998</v>
      </c>
      <c r="R166" s="75">
        <f>final_solutions[[#This Row],[Obj2]]</f>
        <v>725.47186299999998</v>
      </c>
      <c r="S166" s="75">
        <f>final_solutions[[#This Row],[Obj3]]/200</f>
        <v>1.3031126750000002</v>
      </c>
    </row>
    <row r="167" spans="1:19" hidden="1">
      <c r="A167">
        <v>44434.219981000002</v>
      </c>
      <c r="B167">
        <v>165005.66641500001</v>
      </c>
      <c r="C167">
        <v>2786067.3411690001</v>
      </c>
      <c r="D167">
        <v>24187.914655</v>
      </c>
      <c r="E167">
        <v>33461.037456999999</v>
      </c>
      <c r="F167">
        <v>4020.0359990000002</v>
      </c>
      <c r="G167">
        <v>39678231.339598</v>
      </c>
      <c r="H167">
        <v>158568.42724300001</v>
      </c>
      <c r="I167">
        <v>2998186.1440570001</v>
      </c>
      <c r="J167">
        <v>0.48182999999999998</v>
      </c>
      <c r="K167">
        <v>0.63638700000000004</v>
      </c>
      <c r="L167">
        <v>-0.59540499999999996</v>
      </c>
      <c r="M167">
        <v>-249.131944</v>
      </c>
      <c r="N167">
        <v>618.19134499999996</v>
      </c>
      <c r="O167">
        <v>263.18972000000002</v>
      </c>
      <c r="Q167" s="75">
        <f>final_solutions[[#This Row],[Obj1]]*(-1)*3.6</f>
        <v>896.87499839999998</v>
      </c>
      <c r="R167" s="75">
        <f>final_solutions[[#This Row],[Obj2]]</f>
        <v>618.19134499999996</v>
      </c>
      <c r="S167" s="75">
        <f>final_solutions[[#This Row],[Obj3]]/200</f>
        <v>1.3159486</v>
      </c>
    </row>
    <row r="168" spans="1:19" hidden="1">
      <c r="A168">
        <v>45237.272748000003</v>
      </c>
      <c r="B168">
        <v>175977.60571999999</v>
      </c>
      <c r="C168">
        <v>2212223.2908899998</v>
      </c>
      <c r="D168">
        <v>24076.722039</v>
      </c>
      <c r="E168">
        <v>30252.125558</v>
      </c>
      <c r="F168">
        <v>4014.9024340000001</v>
      </c>
      <c r="G168">
        <v>5159497.0472579999</v>
      </c>
      <c r="H168">
        <v>21203.863167</v>
      </c>
      <c r="I168">
        <v>483094.10849700001</v>
      </c>
      <c r="J168">
        <v>0.62909999999999999</v>
      </c>
      <c r="K168">
        <v>0.37052000000000002</v>
      </c>
      <c r="L168">
        <v>-0.596252</v>
      </c>
      <c r="M168">
        <v>-85.9375</v>
      </c>
      <c r="N168">
        <v>173.994293</v>
      </c>
      <c r="O168">
        <v>293.92683599999998</v>
      </c>
      <c r="Q168" s="75">
        <f>final_solutions[[#This Row],[Obj1]]*(-1)*3.6</f>
        <v>309.375</v>
      </c>
      <c r="R168" s="75">
        <f>final_solutions[[#This Row],[Obj2]]</f>
        <v>173.994293</v>
      </c>
      <c r="S168" s="75">
        <f>final_solutions[[#This Row],[Obj3]]/200</f>
        <v>1.4696341799999999</v>
      </c>
    </row>
    <row r="169" spans="1:19" hidden="1">
      <c r="A169">
        <v>8911.1836619999995</v>
      </c>
      <c r="B169">
        <v>167137.24356900001</v>
      </c>
      <c r="C169">
        <v>2212223.2908899998</v>
      </c>
      <c r="D169">
        <v>24069.662815</v>
      </c>
      <c r="E169">
        <v>30073.942088</v>
      </c>
      <c r="F169">
        <v>4015.182699</v>
      </c>
      <c r="G169">
        <v>6660962.4997340003</v>
      </c>
      <c r="H169">
        <v>237436.55261099999</v>
      </c>
      <c r="I169">
        <v>488352.47211700003</v>
      </c>
      <c r="J169">
        <v>0.63112699999999999</v>
      </c>
      <c r="K169">
        <v>0.250859</v>
      </c>
      <c r="L169">
        <v>-0.59246100000000002</v>
      </c>
      <c r="M169">
        <v>-94.618055999999996</v>
      </c>
      <c r="N169">
        <v>98.824448000000004</v>
      </c>
      <c r="O169">
        <v>363.48284000000001</v>
      </c>
      <c r="Q169" s="75">
        <f>final_solutions[[#This Row],[Obj1]]*(-1)*3.6</f>
        <v>340.62500160000002</v>
      </c>
      <c r="R169" s="75">
        <f>final_solutions[[#This Row],[Obj2]]</f>
        <v>98.824448000000004</v>
      </c>
      <c r="S169" s="75">
        <f>final_solutions[[#This Row],[Obj3]]/200</f>
        <v>1.8174142</v>
      </c>
    </row>
    <row r="170" spans="1:19" hidden="1">
      <c r="A170">
        <v>45004.317523999998</v>
      </c>
      <c r="B170">
        <v>160780.96548799999</v>
      </c>
      <c r="C170">
        <v>248784.91909000001</v>
      </c>
      <c r="D170">
        <v>25672.088748999999</v>
      </c>
      <c r="E170">
        <v>32199.232419</v>
      </c>
      <c r="F170">
        <v>4002.5134090000001</v>
      </c>
      <c r="G170">
        <v>39962633.327285998</v>
      </c>
      <c r="H170">
        <v>235254.70926500001</v>
      </c>
      <c r="I170">
        <v>2992156.6104979999</v>
      </c>
      <c r="J170">
        <v>0.56795200000000001</v>
      </c>
      <c r="K170">
        <v>0.63996500000000001</v>
      </c>
      <c r="L170">
        <v>-0.56556700000000004</v>
      </c>
      <c r="M170">
        <v>-221.35416699999999</v>
      </c>
      <c r="N170">
        <v>869.966003</v>
      </c>
      <c r="O170">
        <v>258.214788</v>
      </c>
      <c r="Q170" s="75">
        <f>final_solutions[[#This Row],[Obj1]]*(-1)*3.6</f>
        <v>796.87500119999993</v>
      </c>
      <c r="R170" s="75">
        <f>final_solutions[[#This Row],[Obj2]]</f>
        <v>869.966003</v>
      </c>
      <c r="S170" s="75">
        <f>final_solutions[[#This Row],[Obj3]]/200</f>
        <v>1.29107394</v>
      </c>
    </row>
    <row r="171" spans="1:19" hidden="1">
      <c r="A171">
        <v>47063.044938999999</v>
      </c>
      <c r="B171">
        <v>160573.08843900001</v>
      </c>
      <c r="C171">
        <v>2238165.0071060001</v>
      </c>
      <c r="D171">
        <v>24117.948224</v>
      </c>
      <c r="E171">
        <v>32782.469791000003</v>
      </c>
      <c r="F171">
        <v>4025.0711529999999</v>
      </c>
      <c r="G171">
        <v>4197453.2885830002</v>
      </c>
      <c r="H171">
        <v>247612.470539</v>
      </c>
      <c r="I171">
        <v>515301.27744400001</v>
      </c>
      <c r="J171">
        <v>0.61186200000000002</v>
      </c>
      <c r="K171">
        <v>0.21784899999999999</v>
      </c>
      <c r="L171">
        <v>-0.59696199999999999</v>
      </c>
      <c r="M171">
        <v>-73.784722000000002</v>
      </c>
      <c r="N171">
        <v>94.526641999999995</v>
      </c>
      <c r="O171">
        <v>392.51950799999997</v>
      </c>
      <c r="Q171" s="75">
        <f>final_solutions[[#This Row],[Obj1]]*(-1)*3.6</f>
        <v>265.62499919999999</v>
      </c>
      <c r="R171" s="75">
        <f>final_solutions[[#This Row],[Obj2]]</f>
        <v>94.526641999999995</v>
      </c>
      <c r="S171" s="75">
        <f>final_solutions[[#This Row],[Obj3]]/200</f>
        <v>1.96259754</v>
      </c>
    </row>
    <row r="172" spans="1:19">
      <c r="A172" s="75">
        <v>30886.916911</v>
      </c>
      <c r="B172" s="75">
        <v>164412.50863900001</v>
      </c>
      <c r="C172" s="75">
        <v>474696.83820699999</v>
      </c>
      <c r="D172" s="75">
        <v>24061.543726</v>
      </c>
      <c r="E172" s="75">
        <v>30107.695759999999</v>
      </c>
      <c r="F172" s="75">
        <v>4092.9569759999999</v>
      </c>
      <c r="G172" s="75">
        <v>35503204.904394001</v>
      </c>
      <c r="H172" s="75">
        <v>210006.90975200001</v>
      </c>
      <c r="I172" s="75">
        <v>2969580.1452500001</v>
      </c>
      <c r="J172" s="75">
        <v>0.35473500000000002</v>
      </c>
      <c r="K172" s="75">
        <v>0.63721700000000003</v>
      </c>
      <c r="L172" s="75">
        <v>-0.30025299999999999</v>
      </c>
      <c r="M172" s="75">
        <v>-165.79861099999999</v>
      </c>
      <c r="N172" s="75">
        <v>381.523438</v>
      </c>
      <c r="O172" s="75">
        <v>267.92942599999998</v>
      </c>
      <c r="Q172" s="75">
        <f>final_solutions[[#This Row],[Obj1]]*(-1)*3.6</f>
        <v>596.87499960000002</v>
      </c>
      <c r="R172" s="75">
        <f>final_solutions[[#This Row],[Obj2]]</f>
        <v>381.523438</v>
      </c>
      <c r="S172" s="75">
        <f>final_solutions[[#This Row],[Obj3]]/200</f>
        <v>1.3396471299999999</v>
      </c>
    </row>
    <row r="173" spans="1:19">
      <c r="A173" s="75">
        <v>28613.742272</v>
      </c>
      <c r="B173" s="75">
        <v>160182.05264499999</v>
      </c>
      <c r="C173" s="75">
        <v>136513.79856600001</v>
      </c>
      <c r="D173" s="75">
        <v>25700.602771000002</v>
      </c>
      <c r="E173" s="75">
        <v>30023.943356</v>
      </c>
      <c r="F173" s="75">
        <v>4402.0814330000003</v>
      </c>
      <c r="G173" s="75">
        <v>39962633.327285998</v>
      </c>
      <c r="H173" s="75">
        <v>237009.38078000001</v>
      </c>
      <c r="I173" s="75">
        <v>2992156.6104979999</v>
      </c>
      <c r="J173" s="75">
        <v>0.36750100000000002</v>
      </c>
      <c r="K173" s="75">
        <v>0.63996500000000001</v>
      </c>
      <c r="L173" s="75">
        <v>-0.317998</v>
      </c>
      <c r="M173" s="75">
        <v>-160.59027800000001</v>
      </c>
      <c r="N173" s="75">
        <v>382.97271699999999</v>
      </c>
      <c r="O173" s="75">
        <v>266.12234899999999</v>
      </c>
      <c r="Q173" s="75">
        <f>final_solutions[[#This Row],[Obj1]]*(-1)*3.6</f>
        <v>578.12500080000007</v>
      </c>
      <c r="R173" s="75">
        <f>final_solutions[[#This Row],[Obj2]]</f>
        <v>382.97271699999999</v>
      </c>
      <c r="S173" s="75">
        <f>final_solutions[[#This Row],[Obj3]]/200</f>
        <v>1.3306117449999999</v>
      </c>
    </row>
    <row r="174" spans="1:19" hidden="1">
      <c r="A174">
        <v>43647.072334999997</v>
      </c>
      <c r="B174">
        <v>1787774.1169149999</v>
      </c>
      <c r="C174">
        <v>1096080.752936</v>
      </c>
      <c r="D174">
        <v>26408.628014000002</v>
      </c>
      <c r="E174">
        <v>30134.719078999999</v>
      </c>
      <c r="F174">
        <v>4085.006961</v>
      </c>
      <c r="G174">
        <v>39899666.652464002</v>
      </c>
      <c r="H174">
        <v>173222.760155</v>
      </c>
      <c r="I174">
        <v>2998566.380723</v>
      </c>
      <c r="J174">
        <v>0.51454599999999995</v>
      </c>
      <c r="K174">
        <v>0.63982300000000003</v>
      </c>
      <c r="L174">
        <v>-0.43459999999999999</v>
      </c>
      <c r="M174">
        <v>-231.77083300000001</v>
      </c>
      <c r="N174">
        <v>942.12835700000005</v>
      </c>
      <c r="O174">
        <v>256.31465700000001</v>
      </c>
      <c r="Q174" s="75">
        <f>final_solutions[[#This Row],[Obj1]]*(-1)*3.6</f>
        <v>834.37499880000007</v>
      </c>
      <c r="R174" s="75">
        <f>final_solutions[[#This Row],[Obj2]]</f>
        <v>942.12835700000005</v>
      </c>
      <c r="S174" s="75">
        <f>final_solutions[[#This Row],[Obj3]]/200</f>
        <v>1.2815732850000001</v>
      </c>
    </row>
    <row r="175" spans="1:19" hidden="1">
      <c r="A175">
        <v>31467.519264999999</v>
      </c>
      <c r="B175">
        <v>290871.47896099999</v>
      </c>
      <c r="C175">
        <v>1141579.4543979999</v>
      </c>
      <c r="D175">
        <v>24320.967307999999</v>
      </c>
      <c r="E175">
        <v>30082.792222</v>
      </c>
      <c r="F175">
        <v>4096.9951620000002</v>
      </c>
      <c r="G175">
        <v>38485715.715636998</v>
      </c>
      <c r="H175">
        <v>236983.326673</v>
      </c>
      <c r="I175">
        <v>2997750.0253920001</v>
      </c>
      <c r="J175">
        <v>0.50651999999999997</v>
      </c>
      <c r="K175">
        <v>0.63986500000000002</v>
      </c>
      <c r="L175">
        <v>-0.47877599999999998</v>
      </c>
      <c r="M175">
        <v>-207.46527800000001</v>
      </c>
      <c r="N175">
        <v>755.17401099999995</v>
      </c>
      <c r="O175">
        <v>258.61032699999998</v>
      </c>
      <c r="Q175" s="75">
        <f>final_solutions[[#This Row],[Obj1]]*(-1)*3.6</f>
        <v>746.87500080000007</v>
      </c>
      <c r="R175" s="75">
        <f>final_solutions[[#This Row],[Obj2]]</f>
        <v>755.17401099999995</v>
      </c>
      <c r="S175" s="75">
        <f>final_solutions[[#This Row],[Obj3]]/200</f>
        <v>1.2930516349999999</v>
      </c>
    </row>
    <row r="176" spans="1:19" hidden="1">
      <c r="A176">
        <v>44799.825459</v>
      </c>
      <c r="B176">
        <v>160569.11657400001</v>
      </c>
      <c r="C176">
        <v>2912995.0822220002</v>
      </c>
      <c r="D176">
        <v>35412.170482000001</v>
      </c>
      <c r="E176">
        <v>41231.260137999998</v>
      </c>
      <c r="F176">
        <v>4281.2211079999997</v>
      </c>
      <c r="G176">
        <v>10104795.419497</v>
      </c>
      <c r="H176">
        <v>179105.85605900001</v>
      </c>
      <c r="I176">
        <v>618214.71745400003</v>
      </c>
      <c r="J176">
        <v>0.61662799999999995</v>
      </c>
      <c r="K176">
        <v>0.27718599999999999</v>
      </c>
      <c r="L176">
        <v>-0.59707600000000005</v>
      </c>
      <c r="M176">
        <v>-87.673610999999994</v>
      </c>
      <c r="N176">
        <v>105.430939</v>
      </c>
      <c r="O176">
        <v>342.627138</v>
      </c>
      <c r="Q176" s="75">
        <f>final_solutions[[#This Row],[Obj1]]*(-1)*3.6</f>
        <v>315.62499959999997</v>
      </c>
      <c r="R176" s="75">
        <f>final_solutions[[#This Row],[Obj2]]</f>
        <v>105.430939</v>
      </c>
      <c r="S176" s="75">
        <f>final_solutions[[#This Row],[Obj3]]/200</f>
        <v>1.7131356900000001</v>
      </c>
    </row>
    <row r="177" spans="1:19">
      <c r="A177" s="75">
        <v>31116.132419000001</v>
      </c>
      <c r="B177" s="75">
        <v>160176.19241700001</v>
      </c>
      <c r="C177" s="75">
        <v>474696.83820699999</v>
      </c>
      <c r="D177" s="75">
        <v>24213.108435999999</v>
      </c>
      <c r="E177" s="75">
        <v>30107.695759999999</v>
      </c>
      <c r="F177" s="75">
        <v>4010.784635</v>
      </c>
      <c r="G177" s="75">
        <v>35503204.904394001</v>
      </c>
      <c r="H177" s="75">
        <v>206472.31964599999</v>
      </c>
      <c r="I177" s="75">
        <v>2969580.1452500001</v>
      </c>
      <c r="J177" s="75">
        <v>0.35473500000000002</v>
      </c>
      <c r="K177" s="75">
        <v>0.62981500000000001</v>
      </c>
      <c r="L177" s="75">
        <v>-0.29020699999999999</v>
      </c>
      <c r="M177" s="75">
        <v>-174.47916699999999</v>
      </c>
      <c r="N177" s="75">
        <v>384.26654100000002</v>
      </c>
      <c r="O177" s="75">
        <v>268.64191599999998</v>
      </c>
      <c r="Q177" s="75">
        <f>final_solutions[[#This Row],[Obj1]]*(-1)*3.6</f>
        <v>628.12500119999993</v>
      </c>
      <c r="R177" s="75">
        <f>final_solutions[[#This Row],[Obj2]]</f>
        <v>384.26654100000002</v>
      </c>
      <c r="S177" s="75">
        <f>final_solutions[[#This Row],[Obj3]]/200</f>
        <v>1.3432095799999999</v>
      </c>
    </row>
    <row r="178" spans="1:19" hidden="1">
      <c r="A178">
        <v>44476.013165999997</v>
      </c>
      <c r="B178">
        <v>1896878.744067</v>
      </c>
      <c r="C178">
        <v>2788339.1751060002</v>
      </c>
      <c r="D178">
        <v>24296.080267000001</v>
      </c>
      <c r="E178">
        <v>30467.817088</v>
      </c>
      <c r="F178">
        <v>4023.5091579999998</v>
      </c>
      <c r="G178">
        <v>39685000.390138999</v>
      </c>
      <c r="H178">
        <v>205660.896244</v>
      </c>
      <c r="I178">
        <v>2998186.1440570001</v>
      </c>
      <c r="J178">
        <v>0.45613399999999998</v>
      </c>
      <c r="K178">
        <v>0.63960300000000003</v>
      </c>
      <c r="L178">
        <v>-0.58161300000000005</v>
      </c>
      <c r="M178">
        <v>-181.42361099999999</v>
      </c>
      <c r="N178">
        <v>850.32867399999998</v>
      </c>
      <c r="O178">
        <v>257.387539</v>
      </c>
      <c r="Q178" s="75">
        <f>final_solutions[[#This Row],[Obj1]]*(-1)*3.6</f>
        <v>653.12499960000002</v>
      </c>
      <c r="R178" s="75">
        <f>final_solutions[[#This Row],[Obj2]]</f>
        <v>850.32867399999998</v>
      </c>
      <c r="S178" s="75">
        <f>final_solutions[[#This Row],[Obj3]]/200</f>
        <v>1.286937695</v>
      </c>
    </row>
    <row r="179" spans="1:19">
      <c r="A179" s="75">
        <v>31075.195915</v>
      </c>
      <c r="B179" s="75">
        <v>160059.34786499999</v>
      </c>
      <c r="C179" s="75">
        <v>335504.77630999999</v>
      </c>
      <c r="D179" s="75">
        <v>24061.543726</v>
      </c>
      <c r="E179" s="75">
        <v>30073.732507000001</v>
      </c>
      <c r="F179" s="75">
        <v>4044.9579880000001</v>
      </c>
      <c r="G179" s="75">
        <v>39876416.832176998</v>
      </c>
      <c r="H179" s="75">
        <v>158334.35245199999</v>
      </c>
      <c r="I179" s="75">
        <v>2992785.5564540001</v>
      </c>
      <c r="J179" s="75">
        <v>0.36147099999999999</v>
      </c>
      <c r="K179" s="75">
        <v>0.61877099999999996</v>
      </c>
      <c r="L179" s="75">
        <v>-0.31037700000000001</v>
      </c>
      <c r="M179" s="75">
        <v>-243.92361099999999</v>
      </c>
      <c r="N179" s="75">
        <v>394.76608299999998</v>
      </c>
      <c r="O179" s="75">
        <v>270.63759299999998</v>
      </c>
      <c r="Q179" s="75">
        <f>final_solutions[[#This Row],[Obj1]]*(-1)*3.6</f>
        <v>878.12499960000002</v>
      </c>
      <c r="R179" s="75">
        <f>final_solutions[[#This Row],[Obj2]]</f>
        <v>394.76608299999998</v>
      </c>
      <c r="S179" s="75">
        <f>final_solutions[[#This Row],[Obj3]]/200</f>
        <v>1.3531879649999998</v>
      </c>
    </row>
    <row r="180" spans="1:19" hidden="1">
      <c r="A180">
        <v>27080.663196000001</v>
      </c>
      <c r="B180">
        <v>160320.89944099999</v>
      </c>
      <c r="C180">
        <v>129005.736683</v>
      </c>
      <c r="D180">
        <v>24780.322231999999</v>
      </c>
      <c r="E180">
        <v>30809.586157999998</v>
      </c>
      <c r="F180">
        <v>4189.467697</v>
      </c>
      <c r="G180">
        <v>34792651.404173002</v>
      </c>
      <c r="H180">
        <v>216407.89971500001</v>
      </c>
      <c r="I180">
        <v>2972249.7050180002</v>
      </c>
      <c r="J180">
        <v>0.47562100000000002</v>
      </c>
      <c r="K180">
        <v>0.63849199999999995</v>
      </c>
      <c r="L180">
        <v>-0.55535900000000005</v>
      </c>
      <c r="M180">
        <v>-216.14583300000001</v>
      </c>
      <c r="N180">
        <v>585.90448000000004</v>
      </c>
      <c r="O180">
        <v>261.28095400000001</v>
      </c>
      <c r="Q180" s="75">
        <f>final_solutions[[#This Row],[Obj1]]*(-1)*3.6</f>
        <v>778.12499880000007</v>
      </c>
      <c r="R180" s="75">
        <f>final_solutions[[#This Row],[Obj2]]</f>
        <v>585.90448000000004</v>
      </c>
      <c r="S180" s="75">
        <f>final_solutions[[#This Row],[Obj3]]/200</f>
        <v>1.3064047700000001</v>
      </c>
    </row>
    <row r="181" spans="1:19">
      <c r="A181" s="75">
        <v>31075.195915</v>
      </c>
      <c r="B181" s="75">
        <v>160058.57657</v>
      </c>
      <c r="C181" s="75">
        <v>335504.77630999999</v>
      </c>
      <c r="D181" s="75">
        <v>24061.543726</v>
      </c>
      <c r="E181" s="75">
        <v>30073.732507000001</v>
      </c>
      <c r="F181" s="75">
        <v>4042.7013040000002</v>
      </c>
      <c r="G181" s="75">
        <v>39876416.832176998</v>
      </c>
      <c r="H181" s="75">
        <v>157596.285279</v>
      </c>
      <c r="I181" s="75">
        <v>2992785.5564540001</v>
      </c>
      <c r="J181" s="75">
        <v>0.36147099999999999</v>
      </c>
      <c r="K181" s="75">
        <v>0.61855099999999996</v>
      </c>
      <c r="L181" s="75">
        <v>-0.309859</v>
      </c>
      <c r="M181" s="75">
        <v>-245.65972199999999</v>
      </c>
      <c r="N181" s="75">
        <v>395.190674</v>
      </c>
      <c r="O181" s="75">
        <v>270.68161600000002</v>
      </c>
      <c r="Q181" s="75">
        <f>final_solutions[[#This Row],[Obj1]]*(-1)*3.6</f>
        <v>884.37499919999993</v>
      </c>
      <c r="R181" s="75">
        <f>final_solutions[[#This Row],[Obj2]]</f>
        <v>395.190674</v>
      </c>
      <c r="S181" s="75">
        <f>final_solutions[[#This Row],[Obj3]]/200</f>
        <v>1.3534080800000001</v>
      </c>
    </row>
    <row r="184" spans="1:19" ht="30" customHeight="1">
      <c r="A184" s="60">
        <v>10000</v>
      </c>
      <c r="B184" s="60">
        <v>800000</v>
      </c>
      <c r="C184" s="60">
        <v>600000</v>
      </c>
      <c r="D184" s="60">
        <v>120000</v>
      </c>
      <c r="E184" s="60">
        <v>150000</v>
      </c>
      <c r="F184" s="60">
        <v>20000</v>
      </c>
      <c r="G184" s="60">
        <v>8000000</v>
      </c>
      <c r="H184" s="60">
        <v>50000</v>
      </c>
      <c r="I184" s="60">
        <v>600000</v>
      </c>
      <c r="J184" s="60">
        <v>0.2</v>
      </c>
      <c r="K184" s="60">
        <v>0.57999999999999996</v>
      </c>
      <c r="L184" s="60">
        <v>0</v>
      </c>
    </row>
    <row r="185" spans="1:19" ht="30" customHeight="1">
      <c r="A185" s="85">
        <v>2000</v>
      </c>
      <c r="B185" s="85">
        <v>50000</v>
      </c>
      <c r="C185" s="85">
        <v>120000</v>
      </c>
      <c r="D185" s="85">
        <v>15000</v>
      </c>
      <c r="E185" s="85">
        <v>15000</v>
      </c>
      <c r="F185" s="85">
        <v>2000</v>
      </c>
      <c r="G185" s="85">
        <v>1600000</v>
      </c>
      <c r="H185" s="85">
        <v>10000</v>
      </c>
      <c r="I185" s="85">
        <v>100</v>
      </c>
      <c r="J185" s="86">
        <v>0</v>
      </c>
      <c r="K185" s="86">
        <v>0</v>
      </c>
      <c r="L185" s="86">
        <v>-0.6</v>
      </c>
    </row>
    <row r="186" spans="1:19" ht="30" customHeight="1">
      <c r="A186" s="85">
        <v>50000</v>
      </c>
      <c r="B186" s="85">
        <v>4000000</v>
      </c>
      <c r="C186" s="85">
        <v>3000000</v>
      </c>
      <c r="D186" s="85">
        <v>600000</v>
      </c>
      <c r="E186" s="85">
        <v>750000</v>
      </c>
      <c r="F186" s="85">
        <v>100000</v>
      </c>
      <c r="G186" s="85">
        <v>60000000</v>
      </c>
      <c r="H186" s="85">
        <v>250000</v>
      </c>
      <c r="I186" s="85">
        <v>3000000</v>
      </c>
      <c r="J186" s="86">
        <v>0.64</v>
      </c>
      <c r="K186" s="86">
        <v>0.64</v>
      </c>
      <c r="L186" s="86">
        <v>0.4</v>
      </c>
    </row>
    <row r="187" spans="1:19" ht="27.75" customHeight="1">
      <c r="A187" s="71">
        <v>2000</v>
      </c>
      <c r="B187" s="81">
        <v>160000</v>
      </c>
      <c r="C187" s="71">
        <v>120000</v>
      </c>
      <c r="D187" s="81">
        <v>24000</v>
      </c>
      <c r="E187" s="81">
        <v>30000</v>
      </c>
      <c r="F187" s="81">
        <v>4000</v>
      </c>
      <c r="G187" s="71">
        <v>1600000</v>
      </c>
      <c r="H187" s="71">
        <v>10000</v>
      </c>
      <c r="I187" s="71">
        <v>100</v>
      </c>
      <c r="J187" s="74">
        <v>0</v>
      </c>
      <c r="K187" s="74">
        <v>0</v>
      </c>
      <c r="L187" s="74">
        <v>-0.6</v>
      </c>
    </row>
    <row r="188" spans="1:19" ht="15.75">
      <c r="A188" s="71">
        <v>50000</v>
      </c>
      <c r="B188" s="71">
        <v>4000000</v>
      </c>
      <c r="C188" s="71">
        <v>3000000</v>
      </c>
      <c r="D188" s="71">
        <v>600000</v>
      </c>
      <c r="E188" s="71">
        <v>750000</v>
      </c>
      <c r="F188" s="71">
        <v>100000</v>
      </c>
      <c r="G188" s="81">
        <v>40000000</v>
      </c>
      <c r="H188" s="71">
        <v>250000</v>
      </c>
      <c r="I188" s="81">
        <v>3000000</v>
      </c>
      <c r="J188" s="74">
        <v>0.64</v>
      </c>
      <c r="K188" s="81">
        <v>0.64</v>
      </c>
      <c r="L188" s="74">
        <v>0.4</v>
      </c>
    </row>
    <row r="191" spans="1:19" ht="15.75">
      <c r="A191" s="62" t="s">
        <v>105</v>
      </c>
      <c r="B191" s="63" t="s">
        <v>106</v>
      </c>
      <c r="C191" s="64" t="s">
        <v>107</v>
      </c>
      <c r="D191" s="65" t="s">
        <v>108</v>
      </c>
      <c r="E191" s="65" t="s">
        <v>109</v>
      </c>
      <c r="F191" s="65" t="s">
        <v>110</v>
      </c>
      <c r="G191" s="83" t="s">
        <v>180</v>
      </c>
      <c r="I191" s="71">
        <v>2000</v>
      </c>
      <c r="J191" s="71">
        <v>50000</v>
      </c>
    </row>
    <row r="192" spans="1:19" ht="15.75">
      <c r="A192" s="68" t="s">
        <v>114</v>
      </c>
      <c r="B192" s="69">
        <v>1</v>
      </c>
      <c r="C192" s="60">
        <v>10000</v>
      </c>
      <c r="D192" s="71">
        <v>2000</v>
      </c>
      <c r="E192" s="71">
        <v>50000</v>
      </c>
      <c r="F192" s="72">
        <v>1</v>
      </c>
      <c r="G192" s="82"/>
      <c r="I192" s="71">
        <v>50000</v>
      </c>
      <c r="J192" s="71">
        <v>4000000</v>
      </c>
    </row>
    <row r="193" spans="1:10" ht="15.75">
      <c r="A193" s="68" t="s">
        <v>116</v>
      </c>
      <c r="B193" s="69">
        <v>1</v>
      </c>
      <c r="C193" s="60">
        <v>800000</v>
      </c>
      <c r="D193" s="81">
        <v>160000</v>
      </c>
      <c r="E193" s="71">
        <v>4000000</v>
      </c>
      <c r="F193" s="72">
        <v>2</v>
      </c>
      <c r="G193" s="82" t="s">
        <v>178</v>
      </c>
      <c r="I193" s="71">
        <v>120000</v>
      </c>
      <c r="J193" s="71">
        <v>3000000</v>
      </c>
    </row>
    <row r="194" spans="1:10" ht="15.75">
      <c r="A194" s="68" t="s">
        <v>120</v>
      </c>
      <c r="B194" s="69">
        <v>1</v>
      </c>
      <c r="C194" s="60">
        <v>600000</v>
      </c>
      <c r="D194" s="71">
        <v>120000</v>
      </c>
      <c r="E194" s="71">
        <v>3000000</v>
      </c>
      <c r="F194" s="72">
        <v>3</v>
      </c>
      <c r="G194" s="82"/>
      <c r="I194" s="71">
        <v>15000</v>
      </c>
      <c r="J194" s="71">
        <v>600000</v>
      </c>
    </row>
    <row r="195" spans="1:10" ht="15.75">
      <c r="A195" s="68" t="s">
        <v>124</v>
      </c>
      <c r="B195" s="69">
        <v>1</v>
      </c>
      <c r="C195" s="60">
        <v>120000</v>
      </c>
      <c r="D195" s="81">
        <v>24000</v>
      </c>
      <c r="E195" s="71">
        <v>600000</v>
      </c>
      <c r="F195" s="72">
        <v>4</v>
      </c>
      <c r="G195" s="84" t="s">
        <v>181</v>
      </c>
      <c r="I195" s="71">
        <v>15000</v>
      </c>
      <c r="J195" s="71">
        <v>750000</v>
      </c>
    </row>
    <row r="196" spans="1:10" ht="15.75">
      <c r="A196" s="68" t="s">
        <v>128</v>
      </c>
      <c r="B196" s="69">
        <v>1</v>
      </c>
      <c r="C196" s="60">
        <v>150000</v>
      </c>
      <c r="D196" s="81">
        <v>30000</v>
      </c>
      <c r="E196" s="71">
        <v>750000</v>
      </c>
      <c r="F196" s="72">
        <v>5</v>
      </c>
      <c r="G196" s="84" t="s">
        <v>181</v>
      </c>
      <c r="I196" s="71">
        <v>2000</v>
      </c>
      <c r="J196" s="71">
        <v>100000</v>
      </c>
    </row>
    <row r="197" spans="1:10" ht="15.75">
      <c r="A197" s="68" t="s">
        <v>130</v>
      </c>
      <c r="B197" s="69">
        <v>1</v>
      </c>
      <c r="C197" s="60">
        <v>20000</v>
      </c>
      <c r="D197" s="81">
        <v>4000</v>
      </c>
      <c r="E197" s="71">
        <v>100000</v>
      </c>
      <c r="F197" s="72">
        <v>6</v>
      </c>
      <c r="G197" s="84" t="s">
        <v>182</v>
      </c>
      <c r="I197" s="71">
        <v>1600000</v>
      </c>
      <c r="J197" s="71">
        <v>60000000</v>
      </c>
    </row>
    <row r="198" spans="1:10" ht="15.75">
      <c r="A198" s="68" t="s">
        <v>132</v>
      </c>
      <c r="B198" s="69">
        <v>1</v>
      </c>
      <c r="C198" s="60">
        <v>8000000</v>
      </c>
      <c r="D198" s="71">
        <v>1600000</v>
      </c>
      <c r="E198" s="81">
        <v>40000000</v>
      </c>
      <c r="F198" s="72">
        <v>7</v>
      </c>
      <c r="G198" s="84" t="s">
        <v>183</v>
      </c>
      <c r="I198" s="71">
        <v>10000</v>
      </c>
      <c r="J198" s="71">
        <v>250000</v>
      </c>
    </row>
    <row r="199" spans="1:10" ht="15.75">
      <c r="A199" s="68" t="s">
        <v>134</v>
      </c>
      <c r="B199" s="69">
        <v>1</v>
      </c>
      <c r="C199" s="60">
        <v>50000</v>
      </c>
      <c r="D199" s="71">
        <v>10000</v>
      </c>
      <c r="E199" s="71">
        <v>250000</v>
      </c>
      <c r="F199" s="72">
        <v>8</v>
      </c>
      <c r="G199" s="82"/>
      <c r="I199" s="71">
        <v>100</v>
      </c>
      <c r="J199" s="71">
        <v>3000000</v>
      </c>
    </row>
    <row r="200" spans="1:10" ht="15.75">
      <c r="A200" s="68" t="s">
        <v>140</v>
      </c>
      <c r="B200" s="69">
        <v>1</v>
      </c>
      <c r="C200" s="60">
        <v>600000</v>
      </c>
      <c r="D200" s="71">
        <v>100</v>
      </c>
      <c r="E200" s="81">
        <v>3000000</v>
      </c>
      <c r="F200" s="72">
        <v>9</v>
      </c>
      <c r="G200" s="82" t="s">
        <v>179</v>
      </c>
      <c r="I200" s="74">
        <v>0</v>
      </c>
      <c r="J200" s="74">
        <v>0.64</v>
      </c>
    </row>
    <row r="201" spans="1:10" ht="15.75">
      <c r="A201" s="68" t="s">
        <v>170</v>
      </c>
      <c r="B201" s="69">
        <v>1</v>
      </c>
      <c r="C201" s="60">
        <v>0.2</v>
      </c>
      <c r="D201" s="74">
        <v>0</v>
      </c>
      <c r="E201" s="74">
        <v>0.64</v>
      </c>
      <c r="F201" s="72">
        <v>10</v>
      </c>
      <c r="G201" s="82"/>
      <c r="I201" s="74">
        <v>0</v>
      </c>
      <c r="J201" s="74">
        <v>0.64</v>
      </c>
    </row>
    <row r="202" spans="1:10" ht="15.75">
      <c r="A202" s="68" t="s">
        <v>172</v>
      </c>
      <c r="B202" s="69">
        <v>1</v>
      </c>
      <c r="C202" s="60">
        <v>0.57999999999999996</v>
      </c>
      <c r="D202" s="74">
        <v>0</v>
      </c>
      <c r="E202" s="81">
        <v>0.64</v>
      </c>
      <c r="F202" s="72">
        <v>11</v>
      </c>
      <c r="G202" s="82" t="s">
        <v>179</v>
      </c>
      <c r="I202" s="74">
        <v>-0.6</v>
      </c>
      <c r="J202" s="74">
        <v>0.4</v>
      </c>
    </row>
    <row r="203" spans="1:10" ht="15.75">
      <c r="A203" s="68" t="s">
        <v>174</v>
      </c>
      <c r="B203" s="69">
        <v>1</v>
      </c>
      <c r="C203" s="60">
        <v>0</v>
      </c>
      <c r="D203" s="74">
        <v>-0.6</v>
      </c>
      <c r="E203" s="74">
        <v>0.4</v>
      </c>
      <c r="F203" s="72">
        <v>12</v>
      </c>
      <c r="G203" s="82"/>
    </row>
  </sheetData>
  <phoneticPr fontId="1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9C98A-591B-4CF5-AF6F-2176A77C7746}">
  <sheetPr filterMode="1"/>
  <dimension ref="A1:H33"/>
  <sheetViews>
    <sheetView zoomScale="145" zoomScaleNormal="145" workbookViewId="0">
      <selection activeCell="A34" sqref="A34"/>
    </sheetView>
  </sheetViews>
  <sheetFormatPr defaultRowHeight="12.75"/>
  <cols>
    <col min="2" max="2" width="21.5" customWidth="1"/>
    <col min="3" max="3" width="31" customWidth="1"/>
    <col min="4" max="4" width="29.5" customWidth="1"/>
    <col min="5" max="5" width="12.75" bestFit="1" customWidth="1"/>
    <col min="6" max="6" width="22.875" customWidth="1"/>
    <col min="7" max="7" width="19.25" customWidth="1"/>
    <col min="8" max="8" width="29.25" customWidth="1"/>
  </cols>
  <sheetData>
    <row r="1" spans="1:8" ht="15.75">
      <c r="A1" s="61" t="s">
        <v>103</v>
      </c>
      <c r="B1" s="62" t="s">
        <v>104</v>
      </c>
      <c r="C1" s="62" t="s">
        <v>105</v>
      </c>
      <c r="D1" s="63" t="s">
        <v>106</v>
      </c>
      <c r="E1" s="64" t="s">
        <v>107</v>
      </c>
      <c r="F1" s="65" t="s">
        <v>108</v>
      </c>
      <c r="G1" s="65" t="s">
        <v>109</v>
      </c>
      <c r="H1" s="65" t="s">
        <v>110</v>
      </c>
    </row>
    <row r="2" spans="1:8" ht="15.75" hidden="1">
      <c r="A2" s="66">
        <v>1</v>
      </c>
      <c r="B2" s="67" t="s">
        <v>111</v>
      </c>
      <c r="C2" s="68" t="s">
        <v>112</v>
      </c>
      <c r="D2" s="69">
        <v>0</v>
      </c>
      <c r="E2" s="60">
        <v>120</v>
      </c>
      <c r="F2" s="70"/>
      <c r="G2" s="70"/>
      <c r="H2" s="70"/>
    </row>
    <row r="3" spans="1:8" ht="15.75">
      <c r="A3" s="66">
        <v>2</v>
      </c>
      <c r="B3" s="67" t="s">
        <v>113</v>
      </c>
      <c r="C3" s="68" t="s">
        <v>114</v>
      </c>
      <c r="D3" s="69">
        <v>1</v>
      </c>
      <c r="E3" s="60">
        <v>10000</v>
      </c>
      <c r="F3" s="71">
        <f>E3*0.2</f>
        <v>2000</v>
      </c>
      <c r="G3" s="71">
        <f>E3*5</f>
        <v>50000</v>
      </c>
      <c r="H3" s="72">
        <v>1</v>
      </c>
    </row>
    <row r="4" spans="1:8" ht="15.75">
      <c r="A4" s="66">
        <v>3</v>
      </c>
      <c r="B4" s="67" t="s">
        <v>115</v>
      </c>
      <c r="C4" s="68" t="s">
        <v>116</v>
      </c>
      <c r="D4" s="69">
        <v>1</v>
      </c>
      <c r="E4" s="60">
        <v>800000</v>
      </c>
      <c r="F4" s="71">
        <f>E4*0.2</f>
        <v>160000</v>
      </c>
      <c r="G4" s="71">
        <f>E4*5</f>
        <v>4000000</v>
      </c>
      <c r="H4" s="72">
        <v>2</v>
      </c>
    </row>
    <row r="5" spans="1:8" ht="15.75" hidden="1">
      <c r="A5" s="66">
        <v>4</v>
      </c>
      <c r="B5" s="67" t="s">
        <v>117</v>
      </c>
      <c r="C5" s="68" t="s">
        <v>118</v>
      </c>
      <c r="D5" s="69">
        <v>0</v>
      </c>
      <c r="E5" s="60">
        <v>800000</v>
      </c>
      <c r="F5" s="70"/>
      <c r="G5" s="70"/>
      <c r="H5" s="70"/>
    </row>
    <row r="6" spans="1:8" ht="15.75">
      <c r="A6" s="66">
        <v>5</v>
      </c>
      <c r="B6" s="67" t="s">
        <v>119</v>
      </c>
      <c r="C6" s="68" t="s">
        <v>120</v>
      </c>
      <c r="D6" s="69">
        <v>1</v>
      </c>
      <c r="E6" s="60">
        <v>600000</v>
      </c>
      <c r="F6" s="71">
        <f t="shared" ref="F6" si="0">E6*0.2</f>
        <v>120000</v>
      </c>
      <c r="G6" s="71">
        <f t="shared" ref="G6" si="1">E6*5</f>
        <v>3000000</v>
      </c>
      <c r="H6" s="72">
        <v>3</v>
      </c>
    </row>
    <row r="7" spans="1:8" ht="15.75" hidden="1">
      <c r="A7" s="66">
        <v>6</v>
      </c>
      <c r="B7" s="67" t="s">
        <v>121</v>
      </c>
      <c r="C7" s="68" t="s">
        <v>122</v>
      </c>
      <c r="D7" s="69">
        <v>0</v>
      </c>
      <c r="E7" s="60">
        <v>5000000</v>
      </c>
      <c r="F7" s="70"/>
      <c r="G7" s="70"/>
      <c r="H7" s="70"/>
    </row>
    <row r="8" spans="1:8" ht="15.75">
      <c r="A8" s="66">
        <v>7</v>
      </c>
      <c r="B8" s="67" t="s">
        <v>123</v>
      </c>
      <c r="C8" s="68" t="s">
        <v>124</v>
      </c>
      <c r="D8" s="69">
        <v>1</v>
      </c>
      <c r="E8" s="60">
        <v>120000</v>
      </c>
      <c r="F8" s="71">
        <f>E8*0.2</f>
        <v>24000</v>
      </c>
      <c r="G8" s="71">
        <f>E8*5</f>
        <v>600000</v>
      </c>
      <c r="H8" s="72">
        <v>4</v>
      </c>
    </row>
    <row r="9" spans="1:8" ht="15.75" hidden="1">
      <c r="A9" s="66">
        <v>8</v>
      </c>
      <c r="B9" s="67" t="s">
        <v>125</v>
      </c>
      <c r="C9" s="68" t="s">
        <v>126</v>
      </c>
      <c r="D9" s="69">
        <v>0</v>
      </c>
      <c r="E9" s="60">
        <v>120000</v>
      </c>
      <c r="F9" s="70"/>
      <c r="G9" s="70"/>
      <c r="H9" s="70"/>
    </row>
    <row r="10" spans="1:8" ht="15.75">
      <c r="A10" s="66">
        <v>9</v>
      </c>
      <c r="B10" s="67" t="s">
        <v>127</v>
      </c>
      <c r="C10" s="68" t="s">
        <v>128</v>
      </c>
      <c r="D10" s="69">
        <v>1</v>
      </c>
      <c r="E10" s="60">
        <v>150000</v>
      </c>
      <c r="F10" s="71">
        <f t="shared" ref="F10:F13" si="2">E10*0.2</f>
        <v>30000</v>
      </c>
      <c r="G10" s="71">
        <f t="shared" ref="G10:G13" si="3">E10*5</f>
        <v>750000</v>
      </c>
      <c r="H10" s="72">
        <v>5</v>
      </c>
    </row>
    <row r="11" spans="1:8" ht="15.75">
      <c r="A11" s="66">
        <v>10</v>
      </c>
      <c r="B11" s="67" t="s">
        <v>129</v>
      </c>
      <c r="C11" s="68" t="s">
        <v>130</v>
      </c>
      <c r="D11" s="69">
        <v>1</v>
      </c>
      <c r="E11" s="60">
        <v>20000</v>
      </c>
      <c r="F11" s="71">
        <f t="shared" si="2"/>
        <v>4000</v>
      </c>
      <c r="G11" s="71">
        <f t="shared" si="3"/>
        <v>100000</v>
      </c>
      <c r="H11" s="72">
        <v>6</v>
      </c>
    </row>
    <row r="12" spans="1:8" ht="15.75">
      <c r="A12" s="66">
        <v>11</v>
      </c>
      <c r="B12" s="67" t="s">
        <v>131</v>
      </c>
      <c r="C12" s="68" t="s">
        <v>132</v>
      </c>
      <c r="D12" s="69">
        <v>1</v>
      </c>
      <c r="E12" s="60">
        <v>8000000</v>
      </c>
      <c r="F12" s="71">
        <f t="shared" si="2"/>
        <v>1600000</v>
      </c>
      <c r="G12" s="71">
        <f t="shared" si="3"/>
        <v>40000000</v>
      </c>
      <c r="H12" s="72">
        <v>7</v>
      </c>
    </row>
    <row r="13" spans="1:8" ht="15.75">
      <c r="A13" s="66">
        <v>12</v>
      </c>
      <c r="B13" s="67" t="s">
        <v>133</v>
      </c>
      <c r="C13" s="68" t="s">
        <v>134</v>
      </c>
      <c r="D13" s="69">
        <v>1</v>
      </c>
      <c r="E13" s="60">
        <v>50000</v>
      </c>
      <c r="F13" s="71">
        <f t="shared" si="2"/>
        <v>10000</v>
      </c>
      <c r="G13" s="71">
        <f t="shared" si="3"/>
        <v>250000</v>
      </c>
      <c r="H13" s="72">
        <v>8</v>
      </c>
    </row>
    <row r="14" spans="1:8" ht="15.75" hidden="1">
      <c r="A14" s="66">
        <v>13</v>
      </c>
      <c r="B14" s="67" t="s">
        <v>135</v>
      </c>
      <c r="C14" s="68" t="s">
        <v>136</v>
      </c>
      <c r="D14" s="69">
        <v>0</v>
      </c>
      <c r="E14" s="60">
        <v>2500000</v>
      </c>
      <c r="F14" s="70"/>
      <c r="G14" s="70"/>
      <c r="H14" s="70"/>
    </row>
    <row r="15" spans="1:8" ht="15.75" hidden="1">
      <c r="A15" s="66">
        <v>14</v>
      </c>
      <c r="B15" s="67" t="s">
        <v>137</v>
      </c>
      <c r="C15" s="68" t="s">
        <v>138</v>
      </c>
      <c r="D15" s="69">
        <v>0</v>
      </c>
      <c r="E15" s="60">
        <v>20000000</v>
      </c>
      <c r="F15" s="70"/>
      <c r="G15" s="70"/>
      <c r="H15" s="70"/>
    </row>
    <row r="16" spans="1:8" ht="15.75">
      <c r="A16" s="66">
        <v>15</v>
      </c>
      <c r="B16" s="67" t="s">
        <v>139</v>
      </c>
      <c r="C16" s="68" t="s">
        <v>140</v>
      </c>
      <c r="D16" s="69">
        <v>1</v>
      </c>
      <c r="E16" s="60">
        <v>600000</v>
      </c>
      <c r="F16" s="71">
        <v>100</v>
      </c>
      <c r="G16" s="71">
        <f>E16*5</f>
        <v>3000000</v>
      </c>
      <c r="H16" s="72">
        <v>9</v>
      </c>
    </row>
    <row r="17" spans="1:8" ht="15.75" hidden="1">
      <c r="A17" s="66">
        <v>16</v>
      </c>
      <c r="B17" s="67" t="s">
        <v>141</v>
      </c>
      <c r="C17" s="68" t="s">
        <v>142</v>
      </c>
      <c r="D17" s="69">
        <v>0</v>
      </c>
      <c r="E17" s="60">
        <v>25000</v>
      </c>
      <c r="F17" s="70"/>
      <c r="G17" s="70"/>
      <c r="H17" s="70"/>
    </row>
    <row r="18" spans="1:8" ht="15.75" hidden="1">
      <c r="A18" s="66">
        <v>17</v>
      </c>
      <c r="B18" s="67" t="s">
        <v>143</v>
      </c>
      <c r="C18" s="68" t="s">
        <v>144</v>
      </c>
      <c r="D18" s="69">
        <v>0</v>
      </c>
      <c r="E18" s="73">
        <v>-1.8</v>
      </c>
      <c r="F18" s="70"/>
      <c r="G18" s="70"/>
      <c r="H18" s="70"/>
    </row>
    <row r="19" spans="1:8" ht="15.75" hidden="1">
      <c r="A19" s="66">
        <v>18</v>
      </c>
      <c r="B19" s="67" t="s">
        <v>145</v>
      </c>
      <c r="C19" s="68" t="s">
        <v>146</v>
      </c>
      <c r="D19" s="69">
        <v>0</v>
      </c>
      <c r="E19" s="60">
        <v>50000</v>
      </c>
      <c r="F19" s="70"/>
      <c r="G19" s="70"/>
      <c r="H19" s="70"/>
    </row>
    <row r="20" spans="1:8" ht="15.75" hidden="1">
      <c r="A20" s="66">
        <v>19</v>
      </c>
      <c r="B20" s="67" t="s">
        <v>147</v>
      </c>
      <c r="C20" s="68" t="s">
        <v>148</v>
      </c>
      <c r="D20" s="69">
        <v>0</v>
      </c>
      <c r="E20" s="60">
        <v>1200000</v>
      </c>
      <c r="F20" s="70"/>
      <c r="G20" s="70"/>
      <c r="H20" s="70"/>
    </row>
    <row r="21" spans="1:8" ht="15.75" hidden="1">
      <c r="A21" s="66">
        <v>20</v>
      </c>
      <c r="B21" s="67" t="s">
        <v>149</v>
      </c>
      <c r="C21" s="68" t="s">
        <v>150</v>
      </c>
      <c r="D21" s="69">
        <v>0</v>
      </c>
      <c r="E21" s="60">
        <v>1200000</v>
      </c>
      <c r="F21" s="70"/>
      <c r="G21" s="70"/>
      <c r="H21" s="70"/>
    </row>
    <row r="22" spans="1:8" ht="15.75" hidden="1">
      <c r="A22" s="66">
        <v>21</v>
      </c>
      <c r="B22" s="67" t="s">
        <v>151</v>
      </c>
      <c r="C22" s="68" t="s">
        <v>152</v>
      </c>
      <c r="D22" s="69">
        <v>0</v>
      </c>
      <c r="E22" s="60">
        <v>5000</v>
      </c>
      <c r="F22" s="70"/>
      <c r="G22" s="70"/>
      <c r="H22" s="70"/>
    </row>
    <row r="23" spans="1:8" ht="15.75" hidden="1">
      <c r="A23" s="66">
        <v>22</v>
      </c>
      <c r="B23" s="67" t="s">
        <v>153</v>
      </c>
      <c r="C23" s="68" t="s">
        <v>154</v>
      </c>
      <c r="D23" s="69">
        <v>0</v>
      </c>
      <c r="E23" s="60">
        <v>0</v>
      </c>
      <c r="F23" s="70"/>
      <c r="G23" s="70"/>
      <c r="H23" s="70"/>
    </row>
    <row r="24" spans="1:8" ht="15.75" hidden="1">
      <c r="A24" s="66">
        <v>23</v>
      </c>
      <c r="B24" s="67" t="s">
        <v>155</v>
      </c>
      <c r="C24" s="68" t="s">
        <v>156</v>
      </c>
      <c r="D24" s="69">
        <v>0</v>
      </c>
      <c r="E24" s="60">
        <v>2000</v>
      </c>
      <c r="F24" s="70"/>
      <c r="G24" s="70"/>
      <c r="H24" s="70"/>
    </row>
    <row r="25" spans="1:8" ht="15.75" hidden="1">
      <c r="A25" s="66">
        <v>24</v>
      </c>
      <c r="B25" s="67" t="s">
        <v>157</v>
      </c>
      <c r="C25" s="68" t="s">
        <v>158</v>
      </c>
      <c r="D25" s="69">
        <v>0</v>
      </c>
      <c r="E25" s="60">
        <v>3000</v>
      </c>
      <c r="F25" s="70"/>
      <c r="G25" s="70"/>
      <c r="H25" s="70"/>
    </row>
    <row r="26" spans="1:8" ht="15.75" hidden="1">
      <c r="A26" s="66">
        <v>25</v>
      </c>
      <c r="B26" s="67" t="s">
        <v>159</v>
      </c>
      <c r="C26" s="68" t="s">
        <v>160</v>
      </c>
      <c r="D26" s="69">
        <v>0</v>
      </c>
      <c r="E26" s="60">
        <v>5000</v>
      </c>
      <c r="F26" s="70"/>
      <c r="G26" s="70"/>
      <c r="H26" s="70"/>
    </row>
    <row r="27" spans="1:8" ht="15.75" hidden="1">
      <c r="A27" s="66">
        <v>26</v>
      </c>
      <c r="B27" s="67" t="s">
        <v>161</v>
      </c>
      <c r="C27" s="68" t="s">
        <v>162</v>
      </c>
      <c r="D27" s="69">
        <v>0</v>
      </c>
      <c r="E27" s="60">
        <v>1000</v>
      </c>
      <c r="F27" s="70"/>
      <c r="G27" s="70"/>
      <c r="H27" s="70"/>
    </row>
    <row r="28" spans="1:8" ht="15.75" hidden="1">
      <c r="A28" s="66">
        <v>27</v>
      </c>
      <c r="B28" s="67" t="s">
        <v>163</v>
      </c>
      <c r="C28" s="68" t="s">
        <v>164</v>
      </c>
      <c r="D28" s="69">
        <v>0</v>
      </c>
      <c r="E28" s="60">
        <v>560</v>
      </c>
      <c r="F28" s="70"/>
      <c r="G28" s="70"/>
      <c r="H28" s="70"/>
    </row>
    <row r="29" spans="1:8" ht="15.75" hidden="1">
      <c r="A29" s="66">
        <v>28</v>
      </c>
      <c r="B29" s="67" t="s">
        <v>165</v>
      </c>
      <c r="C29" s="68" t="s">
        <v>166</v>
      </c>
      <c r="D29" s="69">
        <v>0</v>
      </c>
      <c r="E29" s="60">
        <v>100</v>
      </c>
      <c r="F29" s="70"/>
      <c r="G29" s="70"/>
      <c r="H29" s="70"/>
    </row>
    <row r="30" spans="1:8" ht="15.75" hidden="1">
      <c r="A30" s="66">
        <v>29</v>
      </c>
      <c r="B30" s="67" t="s">
        <v>167</v>
      </c>
      <c r="C30" s="68" t="s">
        <v>168</v>
      </c>
      <c r="D30" s="69">
        <v>0</v>
      </c>
      <c r="E30" s="60">
        <v>560</v>
      </c>
      <c r="F30" s="70"/>
      <c r="G30" s="70"/>
      <c r="H30" s="70"/>
    </row>
    <row r="31" spans="1:8" ht="15.75">
      <c r="A31" s="66">
        <v>30</v>
      </c>
      <c r="B31" s="67" t="s">
        <v>169</v>
      </c>
      <c r="C31" s="68" t="s">
        <v>170</v>
      </c>
      <c r="D31" s="69">
        <v>1</v>
      </c>
      <c r="E31" s="60">
        <v>0.2</v>
      </c>
      <c r="F31" s="74">
        <v>0</v>
      </c>
      <c r="G31" s="74">
        <v>0.64</v>
      </c>
      <c r="H31" s="72">
        <v>10</v>
      </c>
    </row>
    <row r="32" spans="1:8" ht="15.75">
      <c r="A32" s="66">
        <v>31</v>
      </c>
      <c r="B32" s="67" t="s">
        <v>171</v>
      </c>
      <c r="C32" s="68" t="s">
        <v>172</v>
      </c>
      <c r="D32" s="69">
        <v>1</v>
      </c>
      <c r="E32" s="60">
        <v>0.57999999999999996</v>
      </c>
      <c r="F32" s="74">
        <v>0</v>
      </c>
      <c r="G32" s="74">
        <v>0.64</v>
      </c>
      <c r="H32" s="72">
        <v>11</v>
      </c>
    </row>
    <row r="33" spans="1:8" ht="15.75">
      <c r="A33" s="66">
        <v>32</v>
      </c>
      <c r="B33" s="67" t="s">
        <v>173</v>
      </c>
      <c r="C33" s="68" t="s">
        <v>174</v>
      </c>
      <c r="D33" s="69">
        <v>1</v>
      </c>
      <c r="E33" s="60">
        <v>0</v>
      </c>
      <c r="F33" s="74">
        <v>-0.6</v>
      </c>
      <c r="G33" s="74">
        <v>0.4</v>
      </c>
      <c r="H33" s="72">
        <v>12</v>
      </c>
    </row>
  </sheetData>
  <autoFilter ref="A1:H33" xr:uid="{AED9C98A-591B-4CF5-AF6F-2176A77C7746}">
    <filterColumn colId="3">
      <filters>
        <filter val="1"/>
      </filters>
    </filterColumn>
  </autoFilter>
  <phoneticPr fontId="1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8278BF-9873-4A49-89E3-490D68AD16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plot</vt:lpstr>
      <vt:lpstr>nsga2-150gen180pop</vt:lpstr>
      <vt:lpstr>优化基准值</vt:lpstr>
      <vt:lpstr>firstLabel</vt:lpstr>
      <vt:lpstr>firstZ</vt:lpstr>
      <vt:lpstr>NrPoints</vt:lpstr>
      <vt:lpstr>scatterlist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YaoYao</cp:lastModifiedBy>
  <dcterms:created xsi:type="dcterms:W3CDTF">2012-09-19T17:34:13Z</dcterms:created>
  <dcterms:modified xsi:type="dcterms:W3CDTF">2025-02-10T06:05:34Z</dcterms:modified>
</cp:coreProperties>
</file>